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760"/>
  </bookViews>
  <sheets>
    <sheet name="Summary - Bagaluru" sheetId="1" r:id="rId1"/>
    <sheet name="Projects List" sheetId="2" r:id="rId2"/>
    <sheet name="Productwise Supply" sheetId="3" r:id="rId3"/>
    <sheet name="Productwise Supply &amp; Absorption" sheetId="4" r:id="rId4"/>
    <sheet name="Weighted Avg Price Trend" sheetId="5" r:id="rId5"/>
    <sheet name="New Launch Data" sheetId="6" r:id="rId6"/>
    <sheet name="Inventory Trend" sheetId="7" r:id="rId7"/>
    <sheet name="Micro Market Supply &amp; Absorptio" sheetId="8" r:id="rId8"/>
    <sheet name="Absorption Break-up" sheetId="9" r:id="rId9"/>
    <sheet name="Micro Market Wt Avg Price Trend" sheetId="10" r:id="rId10"/>
    <sheet name="Cumulative Supply &amp; Absorption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<sst xmlns="http://schemas.openxmlformats.org/spreadsheetml/2006/main" count="549" uniqueCount="219">
  <si>
    <t>Project Number</t>
  </si>
  <si>
    <t>Project Name</t>
  </si>
  <si>
    <t>Phase</t>
  </si>
  <si>
    <t>Developer</t>
  </si>
  <si>
    <t>IsBuilderDistress</t>
  </si>
  <si>
    <t>Location</t>
  </si>
  <si>
    <t>Region Name</t>
  </si>
  <si>
    <t>Micro Market</t>
  </si>
  <si>
    <t>Project Type</t>
  </si>
  <si>
    <t>Project Sub Type</t>
  </si>
  <si>
    <t>PropertySegment</t>
  </si>
  <si>
    <t>Launched Sqft</t>
  </si>
  <si>
    <t>Launched Units</t>
  </si>
  <si>
    <t>Unit Size-SqftMin</t>
  </si>
  <si>
    <t>Unit Size-SqftMax</t>
  </si>
  <si>
    <t>Bed Room Min</t>
  </si>
  <si>
    <t>Bed Room Max</t>
  </si>
  <si>
    <t>New Launch Price</t>
  </si>
  <si>
    <t>Sale-RS/SqftMin</t>
  </si>
  <si>
    <t>Sale-RS/SqftMax</t>
  </si>
  <si>
    <t>Resale-RS/SqftMin</t>
  </si>
  <si>
    <t>Resale-RS/SqftMax</t>
  </si>
  <si>
    <t>LQPrice-RS/SqftMin</t>
  </si>
  <si>
    <t>LQPrice-RS/SqftMax</t>
  </si>
  <si>
    <t>%Sold</t>
  </si>
  <si>
    <t>AbsorbedUnits</t>
  </si>
  <si>
    <t>CRM_Price</t>
  </si>
  <si>
    <t>CRM_Price_AsOn</t>
  </si>
  <si>
    <t>CRM_Price_BasedOn</t>
  </si>
  <si>
    <t>REG_Price</t>
  </si>
  <si>
    <t>REG_Price_AsOn</t>
  </si>
  <si>
    <t>REG_noOfTransactions</t>
  </si>
  <si>
    <t>REG_TotalArea</t>
  </si>
  <si>
    <t>REG_TotalValue</t>
  </si>
  <si>
    <t>Info Date</t>
  </si>
  <si>
    <t>Current Status</t>
  </si>
  <si>
    <t>Total Proj Sqft</t>
  </si>
  <si>
    <t>Launch Date</t>
  </si>
  <si>
    <t>Completion Date</t>
  </si>
  <si>
    <t>DelayMonths</t>
  </si>
  <si>
    <t>Total Units</t>
  </si>
  <si>
    <t>PriceBasedOn</t>
  </si>
  <si>
    <t>Construction Stage</t>
  </si>
  <si>
    <t>Price Inclusive</t>
  </si>
  <si>
    <t>DelayMonths1</t>
  </si>
  <si>
    <t>ReraCertificateNo</t>
  </si>
  <si>
    <t>RERARegistryDate</t>
  </si>
  <si>
    <t>Adarsh Palm Acres III</t>
  </si>
  <si>
    <t>-</t>
  </si>
  <si>
    <t>Adarsh Developers</t>
  </si>
  <si>
    <t>N</t>
  </si>
  <si>
    <t>Bengaluru</t>
  </si>
  <si>
    <t>NorthEast Region</t>
  </si>
  <si>
    <t>Bagaluru</t>
  </si>
  <si>
    <t>Residential</t>
  </si>
  <si>
    <t>Row House/Villas</t>
  </si>
  <si>
    <t>Luxury</t>
  </si>
  <si>
    <t>17285</t>
  </si>
  <si>
    <t>0</t>
  </si>
  <si>
    <t>01-Nov-2025</t>
  </si>
  <si>
    <t>Available</t>
  </si>
  <si>
    <t>01-Nov-2029</t>
  </si>
  <si>
    <t>Builtup</t>
  </si>
  <si>
    <t>Under Construction</t>
  </si>
  <si>
    <t xml:space="preserve"> PRM/KA/RERA/1251/309/PR/181025/008181</t>
  </si>
  <si>
    <t>Oct-2025</t>
  </si>
  <si>
    <t>Aurum at Brigade El Dorado</t>
  </si>
  <si>
    <t>Brigade Group</t>
  </si>
  <si>
    <t>Apartment Cmplx</t>
  </si>
  <si>
    <t>Mid</t>
  </si>
  <si>
    <t>Sold</t>
  </si>
  <si>
    <t>01-Jul-2023</t>
  </si>
  <si>
    <t>01-Dec-2028</t>
  </si>
  <si>
    <t>12</t>
  </si>
  <si>
    <t>Excavation &amp; Plinth Stage</t>
  </si>
  <si>
    <t xml:space="preserve"> PRM/KA/RERA/1250/303/PR/230623/006018</t>
  </si>
  <si>
    <t>Jun-2023</t>
  </si>
  <si>
    <t>Brigade El Dorado ( Diora ,Cobalt  &amp; Beryl) (Diora)</t>
  </si>
  <si>
    <t>1</t>
  </si>
  <si>
    <t>01-Feb-2024</t>
  </si>
  <si>
    <t>Pillar &amp; Slabs (Slab GF completed)</t>
  </si>
  <si>
    <t>CarParking,Club House,Infra &amp;amp; Dev. Charges</t>
  </si>
  <si>
    <t xml:space="preserve"> PRM/KA/RERA/1251/309/PR/160224/006634</t>
  </si>
  <si>
    <t>Feb-2024</t>
  </si>
  <si>
    <t>Brigade El Dorado ( Diora ,Cobalt  &amp; Beryl) (Cobalt )</t>
  </si>
  <si>
    <t>2</t>
  </si>
  <si>
    <t>01-May-2024</t>
  </si>
  <si>
    <t>01-Jun-2029</t>
  </si>
  <si>
    <t xml:space="preserve"> PRM/KA/RERA/1251/309/PR/160524/006878</t>
  </si>
  <si>
    <t>May-2024</t>
  </si>
  <si>
    <t>Brigade El Dorado ( Diora ,Cobalt  &amp; Beryl) (Beryl)</t>
  </si>
  <si>
    <t>3</t>
  </si>
  <si>
    <t>01-Aug-2024</t>
  </si>
  <si>
    <t>Emerald &amp; Luminaire At Brigade El Dorado (Luminaire )</t>
  </si>
  <si>
    <t>01-Jan-2023</t>
  </si>
  <si>
    <t>01-Mar-2026</t>
  </si>
  <si>
    <t>Finishing</t>
  </si>
  <si>
    <t xml:space="preserve"> PRM/KA/RERA/1251/309/PR/190722/005089</t>
  </si>
  <si>
    <t>Jul-2022</t>
  </si>
  <si>
    <t>Godrej Ananda III (Soul) (Tower H,J, K &amp; N)</t>
  </si>
  <si>
    <t>Godrej Properties</t>
  </si>
  <si>
    <t>8050</t>
  </si>
  <si>
    <t>8750</t>
  </si>
  <si>
    <t>01-Nov-2023</t>
  </si>
  <si>
    <t>01-Dec-2027</t>
  </si>
  <si>
    <t>9</t>
  </si>
  <si>
    <t>Interior Work</t>
  </si>
  <si>
    <t xml:space="preserve"> PRM/KA/RERA/1251/309/PR/161023/006323</t>
  </si>
  <si>
    <t>Oct-2023</t>
  </si>
  <si>
    <t>Godrej Ananda III (Soul) (Tower P)</t>
  </si>
  <si>
    <t>Godrej Ananda III (Soul) (Tower M)</t>
  </si>
  <si>
    <t>01-Jan-2024</t>
  </si>
  <si>
    <t>Godrej Ananda III (Soul) (Tower L )</t>
  </si>
  <si>
    <t>4</t>
  </si>
  <si>
    <t>Kalyani Living Tree (Tower 1,2,5 &amp; 6)</t>
  </si>
  <si>
    <t>Kalyani Developers</t>
  </si>
  <si>
    <t>7700</t>
  </si>
  <si>
    <t>01-Oct-2024</t>
  </si>
  <si>
    <t>01-Sep-2029</t>
  </si>
  <si>
    <t xml:space="preserve"> PRM/KA/RERA/1251/309/PR/260924/007084</t>
  </si>
  <si>
    <t>Sep-2024</t>
  </si>
  <si>
    <t>Kalyani Living Tree (Tower 3 &amp; 4)</t>
  </si>
  <si>
    <t>01-Aug-2025</t>
  </si>
  <si>
    <t>Kumar Plumeria</t>
  </si>
  <si>
    <t>Kumar Properties</t>
  </si>
  <si>
    <t>10500</t>
  </si>
  <si>
    <t>01-Mar-2025</t>
  </si>
  <si>
    <t xml:space="preserve"> PRM/KA/RERA/1251/309/PR/210125/007402</t>
  </si>
  <si>
    <t>Jan-2025</t>
  </si>
  <si>
    <t>North Park</t>
  </si>
  <si>
    <t>MJR Builders</t>
  </si>
  <si>
    <t>8150</t>
  </si>
  <si>
    <t>01-Jul-2027</t>
  </si>
  <si>
    <t>19</t>
  </si>
  <si>
    <t>Pillar &amp; Slabs (Slab 11 completed)</t>
  </si>
  <si>
    <t xml:space="preserve"> PRM/KA/RERA/1251/472/PR/050224/006611</t>
  </si>
  <si>
    <t>NVG Rakshak</t>
  </si>
  <si>
    <t>Nvg Projects</t>
  </si>
  <si>
    <t>8090</t>
  </si>
  <si>
    <t>Pillar &amp; Slabs (Slab 1 completed)</t>
  </si>
  <si>
    <t xml:space="preserve"> PRM/KA/RERA/1251/472/PR/091024/007138</t>
  </si>
  <si>
    <t>Oct-2024</t>
  </si>
  <si>
    <t>Provident Ecopolitan</t>
  </si>
  <si>
    <t>Puravankara &amp; Provident Housing</t>
  </si>
  <si>
    <t>8400</t>
  </si>
  <si>
    <t>9000</t>
  </si>
  <si>
    <t>01-Sep-2027</t>
  </si>
  <si>
    <t>Pillar &amp; Slabs (Slab 6 completed)</t>
  </si>
  <si>
    <t>,CarParking,Club House,Infra &amp;amp; Dev. Charges</t>
  </si>
  <si>
    <t>Provident Ecopolitan V</t>
  </si>
  <si>
    <t>9400</t>
  </si>
  <si>
    <t>10390</t>
  </si>
  <si>
    <t>01-Dec-2024</t>
  </si>
  <si>
    <t>01-Apr-2029</t>
  </si>
  <si>
    <t xml:space="preserve"> PRM/KA/RERA/1251/309/PR/311224/007334</t>
  </si>
  <si>
    <t>Dec-2024</t>
  </si>
  <si>
    <t>Sri Sai Dev Enclave Phase I</t>
  </si>
  <si>
    <t>Sri Sai Dev Enclave</t>
  </si>
  <si>
    <t>Plots</t>
  </si>
  <si>
    <t>3950</t>
  </si>
  <si>
    <t>01-May-2025</t>
  </si>
  <si>
    <t>5</t>
  </si>
  <si>
    <t>Ready Possession</t>
  </si>
  <si>
    <t xml:space="preserve"> PRM/KA/RERA/1250/303/PR/220223/005741</t>
  </si>
  <si>
    <t>Feb-2023</t>
  </si>
  <si>
    <t>Note:- This file may contain previous phases of a project as well, if that project is in multiple phases and 1 or more phase(s) is a part of your selection.</t>
  </si>
  <si>
    <t xml:space="preserve">       * Price shown on Wt. Avg. Price of the Market.</t>
  </si>
  <si>
    <t>Period</t>
  </si>
  <si>
    <t xml:space="preserve"> Apartment Cmplx (Units)</t>
  </si>
  <si>
    <t xml:space="preserve"> Row House/Villas (Units)</t>
  </si>
  <si>
    <t xml:space="preserve"> Plots (Units)</t>
  </si>
  <si>
    <t>Total</t>
  </si>
  <si>
    <t>Total (Units)</t>
  </si>
  <si>
    <t>Supply</t>
  </si>
  <si>
    <t>Absorption</t>
  </si>
  <si>
    <t>Availability</t>
  </si>
  <si>
    <t xml:space="preserve">Availability	</t>
  </si>
  <si>
    <t>Wt. Avg. Price NewLaunch (/Sqft)</t>
  </si>
  <si>
    <t>Wt. Avg. Price Absorbed (/Sqft)</t>
  </si>
  <si>
    <t>Wt. Avg. Price Available Units (/Sqft)</t>
  </si>
  <si>
    <t>Q1-2023</t>
  </si>
  <si>
    <t>Q2-2023</t>
  </si>
  <si>
    <t>Q3-2023</t>
  </si>
  <si>
    <t>Q4-2023</t>
  </si>
  <si>
    <t>Q1-2024</t>
  </si>
  <si>
    <t>Q2-2024</t>
  </si>
  <si>
    <t>Q3-2024</t>
  </si>
  <si>
    <t>Q4-2024</t>
  </si>
  <si>
    <t>Q1-2025</t>
  </si>
  <si>
    <t>Q2-2025</t>
  </si>
  <si>
    <t>Q3-2025</t>
  </si>
  <si>
    <t>Q4-2025</t>
  </si>
  <si>
    <t>No. of Projects Launched</t>
  </si>
  <si>
    <t>No. of Units</t>
  </si>
  <si>
    <t>Wt. Min Price (/Sqft)</t>
  </si>
  <si>
    <t>Wt. Avg. Price (/Sqft)</t>
  </si>
  <si>
    <t>Wt. Max Price (/Sqft)</t>
  </si>
  <si>
    <t>Absorbed Units</t>
  </si>
  <si>
    <t>Absorbed (Units)</t>
  </si>
  <si>
    <t>Unsold (Units)</t>
  </si>
  <si>
    <t>Inventory Overhang (Months)</t>
  </si>
  <si>
    <t>Region</t>
  </si>
  <si>
    <t>Q4-2022</t>
  </si>
  <si>
    <t>&lt;4000</t>
  </si>
  <si>
    <t>4001-5000</t>
  </si>
  <si>
    <t>5001-6000</t>
  </si>
  <si>
    <t>6001-7000</t>
  </si>
  <si>
    <t>7001-8000</t>
  </si>
  <si>
    <t>8001-9000</t>
  </si>
  <si>
    <t>9001-10000</t>
  </si>
  <si>
    <t>10001-11000</t>
  </si>
  <si>
    <t>11001-12000</t>
  </si>
  <si>
    <t>&gt;12000</t>
  </si>
  <si>
    <t>Supply (Units)</t>
  </si>
  <si>
    <t>Absorption (Units)</t>
  </si>
  <si>
    <t>Available Supply (Units)</t>
  </si>
  <si>
    <t>Cumulative Supply (Units)</t>
  </si>
  <si>
    <t>Cumulative Absorption (Units)</t>
  </si>
  <si>
    <t>Cumulative Availability (Units)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</si>
</sst>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yy"/>
  </numFmts>
  <fonts count="25">
    <font>
      <sz val="11"/>
      <color rgb="FF000000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36895"/>
        <bgColor rgb="FF536895"/>
      </patternFill>
    </fill>
    <fill>
      <patternFill patternType="solid">
        <fgColor rgb="FF4F81BD"/>
        <bgColor rgb="FF4F81BD"/>
      </patternFill>
    </fill>
    <fill>
      <patternFill patternType="solid">
        <fgColor rgb="FFF6F5DE"/>
        <bgColor rgb="FFF6F5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80" fontId="2" fillId="0" borderId="1" xfId="0" applyNumberFormat="1" applyFont="1" applyBorder="1"/>
    <xf numFmtId="0" fontId="2" fillId="0" borderId="1" xfId="0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2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4" borderId="0" xfId="0" applyFont="1" applyFill="1" applyBorder="1" applyAlignment="1">
      <alignment vertical="center"/>
    </xf>
    <xf numFmtId="0" fontId="3" fillId="0" borderId="0" xfId="0" applyFont="1" applyBorder="1"/>
    <xf numFmtId="176" fontId="2" fillId="0" borderId="0" xfId="0" applyNumberFormat="1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9"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Projects List-style" pivot="0" count="3" xr9:uid="{2594C6B3-6A1D-42EE-9CAE-300A86D098BB}">
      <tableStyleElement type="headerRow" dxfId="48"/>
      <tableStyleElement type="firstRowStripe" dxfId="47"/>
      <tableStyleElement type="secondRowStripe" dxfId="4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85725</xdr:colOff>
      <xdr:row>1</xdr:row>
      <xdr:rowOff>76200</xdr:rowOff>
    </xdr:from>
    <xdr:ext cx="13782675" cy="407670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5725" y="257175"/>
          <a:ext cx="13782675" cy="407670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B2:AU20">
  <tableColumns count="46">
    <tableColumn id="1" name="Project Name" dataDxfId="0"/>
    <tableColumn id="2" name="Phase" dataDxfId="1"/>
    <tableColumn id="3" name="Developer" dataDxfId="2"/>
    <tableColumn id="4" name="IsBuilderDistress" dataDxfId="3"/>
    <tableColumn id="5" name="Location" dataDxfId="4"/>
    <tableColumn id="6" name="Region Name" dataDxfId="5"/>
    <tableColumn id="7" name="Micro Market" dataDxfId="6"/>
    <tableColumn id="8" name="Project Type" dataDxfId="7"/>
    <tableColumn id="9" name="Project Sub Type" dataDxfId="8"/>
    <tableColumn id="10" name="PropertySegment" dataDxfId="9"/>
    <tableColumn id="11" name="Launched Sqft" dataDxfId="10"/>
    <tableColumn id="12" name="Launched Units" dataDxfId="11"/>
    <tableColumn id="13" name="Unit Size-SqftMin" dataDxfId="12"/>
    <tableColumn id="14" name="Unit Size-SqftMax" dataDxfId="13"/>
    <tableColumn id="15" name="Bed Room Min" dataDxfId="14"/>
    <tableColumn id="16" name="Bed Room Max" dataDxfId="15"/>
    <tableColumn id="17" name="New Launch Price" dataDxfId="16"/>
    <tableColumn id="18" name="Sale-RS/SqftMin" dataDxfId="17"/>
    <tableColumn id="19" name="Sale-RS/SqftMax" dataDxfId="18"/>
    <tableColumn id="20" name="Resale-RS/SqftMin" dataDxfId="19"/>
    <tableColumn id="21" name="Resale-RS/SqftMax" dataDxfId="20"/>
    <tableColumn id="22" name="LQPrice-RS/SqftMin" dataDxfId="21"/>
    <tableColumn id="23" name="LQPrice-RS/SqftMax" dataDxfId="22"/>
    <tableColumn id="24" name="%Sold" dataDxfId="23"/>
    <tableColumn id="25" name="AbsorbedUnits" dataDxfId="24"/>
    <tableColumn id="26" name="CRM_Price" dataDxfId="25"/>
    <tableColumn id="27" name="CRM_Price_AsOn" dataDxfId="26"/>
    <tableColumn id="28" name="CRM_Price_BasedOn" dataDxfId="27"/>
    <tableColumn id="29" name="REG_Price" dataDxfId="28"/>
    <tableColumn id="30" name="REG_Price_AsOn" dataDxfId="29"/>
    <tableColumn id="31" name="REG_noOfTransactions" dataDxfId="30"/>
    <tableColumn id="32" name="REG_TotalArea" dataDxfId="31"/>
    <tableColumn id="33" name="REG_TotalValue" dataDxfId="32"/>
    <tableColumn id="34" name="Info Date" dataDxfId="33"/>
    <tableColumn id="35" name="Current Status" dataDxfId="34"/>
    <tableColumn id="36" name="Total Proj Sqft" dataDxfId="35"/>
    <tableColumn id="37" name="Launch Date" dataDxfId="36"/>
    <tableColumn id="38" name="Completion Date" dataDxfId="37"/>
    <tableColumn id="39" name="DelayMonths" dataDxfId="38"/>
    <tableColumn id="40" name="Total Units" dataDxfId="39"/>
    <tableColumn id="41" name="PriceBasedOn" dataDxfId="40"/>
    <tableColumn id="42" name="Construction Stage" dataDxfId="41"/>
    <tableColumn id="43" name="Price Inclusive" dataDxfId="42"/>
    <tableColumn id="44" name="DelayMonths1" dataDxfId="43"/>
    <tableColumn id="45" name="ReraCertificateNo" dataDxfId="44"/>
    <tableColumn id="46" name="RERARegistryDate" dataDxfId="45"/>
  </tableColumns>
  <tableStyleInfo name="Projects 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tabSelected="1" workbookViewId="0">
      <selection activeCell="A1" sqref="A1"/>
    </sheetView>
  </sheetViews>
  <sheetFormatPr defaultColWidth="14.3909090909091" defaultRowHeight="15" customHeight="1"/>
  <cols>
    <col min="1" max="26" width="8.7454545454545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000"/>
  <sheetViews>
    <sheetView workbookViewId="0">
      <pane xSplit="4" ySplit="2" topLeftCell="E3" activePane="bottomRight" state="frozen"/>
      <selection/>
      <selection pane="topRight"/>
      <selection pane="bottomLeft"/>
      <selection pane="bottomRight" activeCell="E3" sqref="E3"/>
    </sheetView>
  </sheetViews>
  <sheetFormatPr defaultColWidth="14.3909090909091" defaultRowHeight="15" customHeight="1"/>
  <cols>
    <col min="1" max="1" width="8.74545454545455" customWidth="1"/>
    <col min="2" max="2" width="49.5" customWidth="1"/>
    <col min="3" max="3" width="8.33636363636364" customWidth="1"/>
    <col min="4" max="4" width="30.9363636363636" customWidth="1"/>
    <col min="5" max="5" width="17.8909090909091" customWidth="1"/>
    <col min="6" max="6" width="11.9727272727273" customWidth="1"/>
    <col min="7" max="7" width="18.2909090909091" customWidth="1"/>
    <col min="8" max="8" width="14.6636363636364" customWidth="1"/>
    <col min="9" max="9" width="13.8545454545455" customWidth="1"/>
    <col min="10" max="10" width="17.6181818181818" customWidth="1"/>
    <col min="11" max="11" width="18.5636363636364" customWidth="1"/>
    <col min="12" max="12" width="15.3363636363636" customWidth="1"/>
    <col min="13" max="13" width="16.4090909090909" customWidth="1"/>
    <col min="14" max="14" width="18.2909090909091" customWidth="1"/>
    <col min="15" max="15" width="18.5636363636364" customWidth="1"/>
    <col min="16" max="16" width="15.8727272727273" customWidth="1"/>
    <col min="17" max="17" width="16.1363636363636" customWidth="1"/>
    <col min="18" max="18" width="18.5636363636364" customWidth="1"/>
    <col min="19" max="19" width="17.3545454545455" customWidth="1"/>
    <col min="20" max="20" width="17.6181818181818" customWidth="1"/>
    <col min="21" max="21" width="19.3727272727273" customWidth="1"/>
    <col min="22" max="22" width="19.6363636363636" customWidth="1"/>
    <col min="23" max="23" width="20.3090909090909" customWidth="1"/>
    <col min="24" max="24" width="20.5818181818182" customWidth="1"/>
    <col min="25" max="25" width="8.47272727272727" customWidth="1"/>
    <col min="26" max="26" width="16.1363636363636" customWidth="1"/>
    <col min="27" max="27" width="12.3727272727273" customWidth="1"/>
    <col min="28" max="28" width="18.1636363636364" customWidth="1"/>
    <col min="29" max="29" width="21.2545454545455" customWidth="1"/>
    <col min="30" max="30" width="11.8363636363636" customWidth="1"/>
    <col min="31" max="31" width="17.6181818181818" customWidth="1"/>
    <col min="32" max="32" width="22.6" customWidth="1"/>
    <col min="33" max="33" width="15.8727272727273" customWidth="1"/>
    <col min="34" max="34" width="16.6818181818182" customWidth="1"/>
    <col min="35" max="35" width="13.9909090909091" customWidth="1"/>
    <col min="36" max="36" width="15.6" customWidth="1"/>
    <col min="37" max="37" width="15.2" customWidth="1"/>
    <col min="38" max="38" width="13.7181818181818" customWidth="1"/>
    <col min="39" max="39" width="17.8909090909091" customWidth="1"/>
    <col min="40" max="40" width="14.6636363636364" customWidth="1"/>
    <col min="41" max="41" width="12.2363636363636" customWidth="1"/>
    <col min="42" max="42" width="15.3363636363636" customWidth="1"/>
    <col min="43" max="43" width="31.3454545454545" customWidth="1"/>
    <col min="44" max="44" width="44.2545454545455" customWidth="1"/>
    <col min="45" max="45" width="15.7363636363636" customWidth="1"/>
    <col min="46" max="46" width="41.7" customWidth="1"/>
    <col min="47" max="47" width="18.8363636363636" customWidth="1"/>
  </cols>
  <sheetData>
    <row r="1" ht="14.25" customHeight="1" spans="1:47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15">
        <f>SUBTOTAL(9,'Projects List'!$L$3:$L$20)/10^6</f>
        <v>10.731032</v>
      </c>
      <c r="M1" s="9">
        <f>SUBTOTAL(9,'Projects List'!$M$3:$M$20)</f>
        <v>10283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</row>
    <row r="2" ht="14.25" customHeight="1" spans="1:47">
      <c r="A2" s="10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</row>
    <row r="3" ht="14.25" customHeight="1" spans="1:47">
      <c r="A3" s="12">
        <v>1</v>
      </c>
      <c r="B3" s="9" t="s">
        <v>47</v>
      </c>
      <c r="C3" s="9" t="s">
        <v>48</v>
      </c>
      <c r="D3" s="9" t="s">
        <v>49</v>
      </c>
      <c r="E3" s="9" t="s">
        <v>50</v>
      </c>
      <c r="F3" s="9" t="s">
        <v>51</v>
      </c>
      <c r="G3" s="9" t="s">
        <v>52</v>
      </c>
      <c r="H3" s="9" t="s">
        <v>53</v>
      </c>
      <c r="I3" s="9" t="s">
        <v>54</v>
      </c>
      <c r="J3" s="9" t="s">
        <v>55</v>
      </c>
      <c r="K3" s="9" t="s">
        <v>56</v>
      </c>
      <c r="L3" s="9">
        <v>796400</v>
      </c>
      <c r="M3" s="9">
        <v>196</v>
      </c>
      <c r="N3" s="9">
        <v>3500</v>
      </c>
      <c r="O3" s="9">
        <v>5100</v>
      </c>
      <c r="P3" s="9">
        <v>4</v>
      </c>
      <c r="Q3" s="9">
        <v>5</v>
      </c>
      <c r="R3" s="9">
        <v>17285</v>
      </c>
      <c r="S3" s="9" t="s">
        <v>57</v>
      </c>
      <c r="T3" s="9" t="s">
        <v>58</v>
      </c>
      <c r="U3" s="9">
        <v>0</v>
      </c>
      <c r="V3" s="9">
        <v>0</v>
      </c>
      <c r="W3" s="9">
        <v>0</v>
      </c>
      <c r="X3" s="9">
        <v>0</v>
      </c>
      <c r="Y3" s="9">
        <v>11.22</v>
      </c>
      <c r="Z3" s="9">
        <v>22</v>
      </c>
      <c r="AA3" s="9"/>
      <c r="AB3" s="9"/>
      <c r="AC3" s="9"/>
      <c r="AD3" s="9"/>
      <c r="AE3" s="9"/>
      <c r="AF3" s="9"/>
      <c r="AG3" s="9"/>
      <c r="AH3" s="9"/>
      <c r="AI3" s="9" t="s">
        <v>59</v>
      </c>
      <c r="AJ3" s="9" t="s">
        <v>60</v>
      </c>
      <c r="AK3" s="9">
        <v>796400</v>
      </c>
      <c r="AL3" s="9" t="s">
        <v>59</v>
      </c>
      <c r="AM3" s="9" t="s">
        <v>61</v>
      </c>
      <c r="AN3" s="9" t="s">
        <v>48</v>
      </c>
      <c r="AO3" s="9">
        <v>196</v>
      </c>
      <c r="AP3" s="9" t="s">
        <v>62</v>
      </c>
      <c r="AQ3" s="9" t="s">
        <v>63</v>
      </c>
      <c r="AR3" s="9" t="s">
        <v>48</v>
      </c>
      <c r="AS3" s="9">
        <v>0</v>
      </c>
      <c r="AT3" s="9" t="s">
        <v>64</v>
      </c>
      <c r="AU3" s="9" t="s">
        <v>65</v>
      </c>
    </row>
    <row r="4" ht="14.25" customHeight="1" spans="1:47">
      <c r="A4" s="12">
        <v>2</v>
      </c>
      <c r="B4" s="9" t="s">
        <v>66</v>
      </c>
      <c r="C4" s="9" t="s">
        <v>48</v>
      </c>
      <c r="D4" s="9" t="s">
        <v>67</v>
      </c>
      <c r="E4" s="9" t="s">
        <v>50</v>
      </c>
      <c r="F4" s="9" t="s">
        <v>51</v>
      </c>
      <c r="G4" s="9" t="s">
        <v>52</v>
      </c>
      <c r="H4" s="9" t="s">
        <v>53</v>
      </c>
      <c r="I4" s="9" t="s">
        <v>54</v>
      </c>
      <c r="J4" s="9" t="s">
        <v>68</v>
      </c>
      <c r="K4" s="9" t="s">
        <v>69</v>
      </c>
      <c r="L4" s="9">
        <v>883228</v>
      </c>
      <c r="M4" s="9">
        <v>635</v>
      </c>
      <c r="N4" s="9">
        <v>938</v>
      </c>
      <c r="O4" s="9">
        <v>1561</v>
      </c>
      <c r="P4" s="9">
        <v>2</v>
      </c>
      <c r="Q4" s="9">
        <v>3</v>
      </c>
      <c r="R4" s="9">
        <v>5265</v>
      </c>
      <c r="S4" s="9" t="s">
        <v>58</v>
      </c>
      <c r="T4" s="9" t="s">
        <v>58</v>
      </c>
      <c r="U4" s="9">
        <v>8200</v>
      </c>
      <c r="V4" s="9">
        <v>9200</v>
      </c>
      <c r="W4" s="9">
        <v>6263</v>
      </c>
      <c r="X4" s="9">
        <v>0</v>
      </c>
      <c r="Y4" s="9">
        <v>100</v>
      </c>
      <c r="Z4" s="9">
        <v>635</v>
      </c>
      <c r="AA4" s="9"/>
      <c r="AB4" s="9"/>
      <c r="AC4" s="9"/>
      <c r="AD4" s="9"/>
      <c r="AE4" s="9"/>
      <c r="AF4" s="9"/>
      <c r="AG4" s="9"/>
      <c r="AH4" s="9"/>
      <c r="AI4" s="9" t="s">
        <v>59</v>
      </c>
      <c r="AJ4" s="9" t="s">
        <v>70</v>
      </c>
      <c r="AK4" s="9">
        <v>883228</v>
      </c>
      <c r="AL4" s="9" t="s">
        <v>71</v>
      </c>
      <c r="AM4" s="9" t="s">
        <v>72</v>
      </c>
      <c r="AN4" s="9" t="s">
        <v>73</v>
      </c>
      <c r="AO4" s="9">
        <v>635</v>
      </c>
      <c r="AP4" s="9" t="s">
        <v>62</v>
      </c>
      <c r="AQ4" s="9" t="s">
        <v>74</v>
      </c>
      <c r="AR4" s="9" t="s">
        <v>48</v>
      </c>
      <c r="AS4" s="9">
        <v>12</v>
      </c>
      <c r="AT4" s="9" t="s">
        <v>75</v>
      </c>
      <c r="AU4" s="9" t="s">
        <v>76</v>
      </c>
    </row>
    <row r="5" ht="14.25" customHeight="1" spans="1:47">
      <c r="A5" s="12">
        <v>3</v>
      </c>
      <c r="B5" s="9" t="s">
        <v>77</v>
      </c>
      <c r="C5" s="9" t="s">
        <v>78</v>
      </c>
      <c r="D5" s="9" t="s">
        <v>67</v>
      </c>
      <c r="E5" s="9" t="s">
        <v>50</v>
      </c>
      <c r="F5" s="9" t="s">
        <v>51</v>
      </c>
      <c r="G5" s="9" t="s">
        <v>52</v>
      </c>
      <c r="H5" s="9" t="s">
        <v>53</v>
      </c>
      <c r="I5" s="9" t="s">
        <v>54</v>
      </c>
      <c r="J5" s="9" t="s">
        <v>68</v>
      </c>
      <c r="K5" s="9" t="s">
        <v>69</v>
      </c>
      <c r="L5" s="9">
        <v>502530</v>
      </c>
      <c r="M5" s="9">
        <v>525</v>
      </c>
      <c r="N5" s="9">
        <v>521</v>
      </c>
      <c r="O5" s="9">
        <v>1382</v>
      </c>
      <c r="P5" s="9">
        <v>1</v>
      </c>
      <c r="Q5" s="9">
        <v>3</v>
      </c>
      <c r="R5" s="9">
        <v>8600</v>
      </c>
      <c r="S5" s="9" t="s">
        <v>58</v>
      </c>
      <c r="T5" s="9" t="s">
        <v>58</v>
      </c>
      <c r="U5" s="9">
        <v>9400</v>
      </c>
      <c r="V5" s="9">
        <v>10000</v>
      </c>
      <c r="W5" s="9">
        <v>9100</v>
      </c>
      <c r="X5" s="9">
        <v>0</v>
      </c>
      <c r="Y5" s="9">
        <v>100</v>
      </c>
      <c r="Z5" s="9">
        <v>525</v>
      </c>
      <c r="AA5" s="9"/>
      <c r="AB5" s="9"/>
      <c r="AC5" s="9"/>
      <c r="AD5" s="9"/>
      <c r="AE5" s="9"/>
      <c r="AF5" s="9"/>
      <c r="AG5" s="9"/>
      <c r="AH5" s="9"/>
      <c r="AI5" s="9" t="s">
        <v>59</v>
      </c>
      <c r="AJ5" s="9" t="s">
        <v>70</v>
      </c>
      <c r="AK5" s="9">
        <v>1595908</v>
      </c>
      <c r="AL5" s="9" t="s">
        <v>79</v>
      </c>
      <c r="AM5" s="9" t="s">
        <v>72</v>
      </c>
      <c r="AN5" s="9" t="s">
        <v>48</v>
      </c>
      <c r="AO5" s="9">
        <v>2273</v>
      </c>
      <c r="AP5" s="9" t="s">
        <v>62</v>
      </c>
      <c r="AQ5" s="9" t="s">
        <v>80</v>
      </c>
      <c r="AR5" s="9" t="s">
        <v>81</v>
      </c>
      <c r="AS5" s="9">
        <v>0</v>
      </c>
      <c r="AT5" s="9" t="s">
        <v>82</v>
      </c>
      <c r="AU5" s="9" t="s">
        <v>83</v>
      </c>
    </row>
    <row r="6" ht="14.25" customHeight="1" spans="1:47">
      <c r="A6" s="12">
        <v>3</v>
      </c>
      <c r="B6" s="9" t="s">
        <v>84</v>
      </c>
      <c r="C6" s="9" t="s">
        <v>85</v>
      </c>
      <c r="D6" s="9" t="s">
        <v>67</v>
      </c>
      <c r="E6" s="9" t="s">
        <v>50</v>
      </c>
      <c r="F6" s="9" t="s">
        <v>51</v>
      </c>
      <c r="G6" s="9" t="s">
        <v>52</v>
      </c>
      <c r="H6" s="9" t="s">
        <v>53</v>
      </c>
      <c r="I6" s="9" t="s">
        <v>54</v>
      </c>
      <c r="J6" s="9" t="s">
        <v>68</v>
      </c>
      <c r="K6" s="9" t="s">
        <v>69</v>
      </c>
      <c r="L6" s="9">
        <v>508128</v>
      </c>
      <c r="M6" s="9">
        <v>948</v>
      </c>
      <c r="N6" s="9">
        <v>536</v>
      </c>
      <c r="O6" s="9">
        <v>0</v>
      </c>
      <c r="P6" s="9">
        <v>1</v>
      </c>
      <c r="Q6" s="9">
        <v>0</v>
      </c>
      <c r="R6" s="9">
        <v>8860</v>
      </c>
      <c r="S6" s="9" t="s">
        <v>58</v>
      </c>
      <c r="T6" s="9" t="s">
        <v>58</v>
      </c>
      <c r="U6" s="9">
        <v>9400</v>
      </c>
      <c r="V6" s="9">
        <v>10000</v>
      </c>
      <c r="W6" s="9">
        <v>9100</v>
      </c>
      <c r="X6" s="9">
        <v>0</v>
      </c>
      <c r="Y6" s="9">
        <v>100</v>
      </c>
      <c r="Z6" s="9">
        <v>948</v>
      </c>
      <c r="AA6" s="9"/>
      <c r="AB6" s="9"/>
      <c r="AC6" s="9"/>
      <c r="AD6" s="9"/>
      <c r="AE6" s="9"/>
      <c r="AF6" s="9"/>
      <c r="AG6" s="9"/>
      <c r="AH6" s="9"/>
      <c r="AI6" s="9" t="s">
        <v>59</v>
      </c>
      <c r="AJ6" s="9" t="s">
        <v>70</v>
      </c>
      <c r="AK6" s="9">
        <v>1595908</v>
      </c>
      <c r="AL6" s="9" t="s">
        <v>86</v>
      </c>
      <c r="AM6" s="9" t="s">
        <v>87</v>
      </c>
      <c r="AN6" s="9" t="s">
        <v>48</v>
      </c>
      <c r="AO6" s="9">
        <v>2273</v>
      </c>
      <c r="AP6" s="9" t="s">
        <v>62</v>
      </c>
      <c r="AQ6" s="9" t="s">
        <v>74</v>
      </c>
      <c r="AR6" s="9" t="s">
        <v>81</v>
      </c>
      <c r="AS6" s="9">
        <v>0</v>
      </c>
      <c r="AT6" s="9" t="s">
        <v>88</v>
      </c>
      <c r="AU6" s="9" t="s">
        <v>89</v>
      </c>
    </row>
    <row r="7" ht="14.25" customHeight="1" spans="1:47">
      <c r="A7" s="12">
        <v>3</v>
      </c>
      <c r="B7" s="9" t="s">
        <v>90</v>
      </c>
      <c r="C7" s="9" t="s">
        <v>91</v>
      </c>
      <c r="D7" s="9" t="s">
        <v>67</v>
      </c>
      <c r="E7" s="9" t="s">
        <v>50</v>
      </c>
      <c r="F7" s="9" t="s">
        <v>51</v>
      </c>
      <c r="G7" s="9" t="s">
        <v>52</v>
      </c>
      <c r="H7" s="9" t="s">
        <v>53</v>
      </c>
      <c r="I7" s="9" t="s">
        <v>54</v>
      </c>
      <c r="J7" s="9" t="s">
        <v>68</v>
      </c>
      <c r="K7" s="9" t="s">
        <v>69</v>
      </c>
      <c r="L7" s="9">
        <v>585250</v>
      </c>
      <c r="M7" s="9">
        <v>800</v>
      </c>
      <c r="N7" s="9">
        <v>521</v>
      </c>
      <c r="O7" s="9">
        <v>1070</v>
      </c>
      <c r="P7" s="9">
        <v>1</v>
      </c>
      <c r="Q7" s="9">
        <v>2</v>
      </c>
      <c r="R7" s="9">
        <v>9345</v>
      </c>
      <c r="S7" s="9" t="s">
        <v>58</v>
      </c>
      <c r="T7" s="9" t="s">
        <v>58</v>
      </c>
      <c r="U7" s="9">
        <v>9400</v>
      </c>
      <c r="V7" s="9">
        <v>10000</v>
      </c>
      <c r="W7" s="9">
        <v>9345</v>
      </c>
      <c r="X7" s="9">
        <v>0</v>
      </c>
      <c r="Y7" s="9">
        <v>100</v>
      </c>
      <c r="Z7" s="9">
        <v>800</v>
      </c>
      <c r="AA7" s="9"/>
      <c r="AB7" s="9"/>
      <c r="AC7" s="9"/>
      <c r="AD7" s="9"/>
      <c r="AE7" s="9"/>
      <c r="AF7" s="9"/>
      <c r="AG7" s="9"/>
      <c r="AH7" s="9"/>
      <c r="AI7" s="9" t="s">
        <v>59</v>
      </c>
      <c r="AJ7" s="9" t="s">
        <v>70</v>
      </c>
      <c r="AK7" s="9">
        <v>1595908</v>
      </c>
      <c r="AL7" s="9" t="s">
        <v>92</v>
      </c>
      <c r="AM7" s="9" t="s">
        <v>87</v>
      </c>
      <c r="AN7" s="9" t="s">
        <v>48</v>
      </c>
      <c r="AO7" s="9">
        <v>2273</v>
      </c>
      <c r="AP7" s="9" t="s">
        <v>62</v>
      </c>
      <c r="AQ7" s="9" t="s">
        <v>80</v>
      </c>
      <c r="AR7" s="9" t="s">
        <v>81</v>
      </c>
      <c r="AS7" s="9">
        <v>0</v>
      </c>
      <c r="AT7" s="9" t="s">
        <v>82</v>
      </c>
      <c r="AU7" s="9" t="s">
        <v>83</v>
      </c>
    </row>
    <row r="8" ht="14.25" customHeight="1" spans="1:47">
      <c r="A8" s="12">
        <v>4</v>
      </c>
      <c r="B8" s="9" t="s">
        <v>93</v>
      </c>
      <c r="C8" s="9" t="s">
        <v>85</v>
      </c>
      <c r="D8" s="9" t="s">
        <v>67</v>
      </c>
      <c r="E8" s="9" t="s">
        <v>50</v>
      </c>
      <c r="F8" s="9" t="s">
        <v>51</v>
      </c>
      <c r="G8" s="9" t="s">
        <v>52</v>
      </c>
      <c r="H8" s="9" t="s">
        <v>53</v>
      </c>
      <c r="I8" s="9" t="s">
        <v>54</v>
      </c>
      <c r="J8" s="9" t="s">
        <v>68</v>
      </c>
      <c r="K8" s="9" t="s">
        <v>69</v>
      </c>
      <c r="L8" s="9">
        <v>269915</v>
      </c>
      <c r="M8" s="9">
        <v>250</v>
      </c>
      <c r="N8" s="9">
        <v>938</v>
      </c>
      <c r="O8" s="9">
        <v>1382</v>
      </c>
      <c r="P8" s="9">
        <v>2</v>
      </c>
      <c r="Q8" s="9">
        <v>3</v>
      </c>
      <c r="R8" s="9">
        <v>4800</v>
      </c>
      <c r="S8" s="9" t="s">
        <v>58</v>
      </c>
      <c r="T8" s="9" t="s">
        <v>58</v>
      </c>
      <c r="U8" s="9">
        <v>8500</v>
      </c>
      <c r="V8" s="9">
        <v>9500</v>
      </c>
      <c r="W8" s="9">
        <v>5300</v>
      </c>
      <c r="X8" s="9">
        <v>0</v>
      </c>
      <c r="Y8" s="9">
        <v>100</v>
      </c>
      <c r="Z8" s="9">
        <v>250</v>
      </c>
      <c r="AA8" s="9"/>
      <c r="AB8" s="9"/>
      <c r="AC8" s="9"/>
      <c r="AD8" s="9"/>
      <c r="AE8" s="9"/>
      <c r="AF8" s="9"/>
      <c r="AG8" s="9"/>
      <c r="AH8" s="9"/>
      <c r="AI8" s="9" t="s">
        <v>59</v>
      </c>
      <c r="AJ8" s="9" t="s">
        <v>70</v>
      </c>
      <c r="AK8" s="9">
        <v>1300800</v>
      </c>
      <c r="AL8" s="9" t="s">
        <v>94</v>
      </c>
      <c r="AM8" s="9" t="s">
        <v>95</v>
      </c>
      <c r="AN8" s="9" t="s">
        <v>48</v>
      </c>
      <c r="AO8" s="9">
        <v>1236</v>
      </c>
      <c r="AP8" s="9" t="s">
        <v>62</v>
      </c>
      <c r="AQ8" s="9" t="s">
        <v>96</v>
      </c>
      <c r="AR8" s="9" t="s">
        <v>81</v>
      </c>
      <c r="AS8" s="9">
        <v>0</v>
      </c>
      <c r="AT8" s="9" t="s">
        <v>97</v>
      </c>
      <c r="AU8" s="9" t="s">
        <v>98</v>
      </c>
    </row>
    <row r="9" ht="14.25" customHeight="1" spans="1:47">
      <c r="A9" s="12">
        <v>5</v>
      </c>
      <c r="B9" s="9" t="s">
        <v>99</v>
      </c>
      <c r="C9" s="9" t="s">
        <v>78</v>
      </c>
      <c r="D9" s="9" t="s">
        <v>100</v>
      </c>
      <c r="E9" s="9" t="s">
        <v>50</v>
      </c>
      <c r="F9" s="9" t="s">
        <v>51</v>
      </c>
      <c r="G9" s="9" t="s">
        <v>52</v>
      </c>
      <c r="H9" s="9" t="s">
        <v>53</v>
      </c>
      <c r="I9" s="9" t="s">
        <v>54</v>
      </c>
      <c r="J9" s="9" t="s">
        <v>68</v>
      </c>
      <c r="K9" s="9" t="s">
        <v>69</v>
      </c>
      <c r="L9" s="9">
        <v>1011710</v>
      </c>
      <c r="M9" s="9">
        <v>1163</v>
      </c>
      <c r="N9" s="9">
        <v>750</v>
      </c>
      <c r="O9" s="9">
        <v>1630</v>
      </c>
      <c r="P9" s="9">
        <v>1</v>
      </c>
      <c r="Q9" s="9">
        <v>3</v>
      </c>
      <c r="R9" s="9">
        <v>7537</v>
      </c>
      <c r="S9" s="9" t="s">
        <v>101</v>
      </c>
      <c r="T9" s="9" t="s">
        <v>102</v>
      </c>
      <c r="U9" s="9">
        <v>0</v>
      </c>
      <c r="V9" s="9">
        <v>0</v>
      </c>
      <c r="W9" s="9">
        <v>0</v>
      </c>
      <c r="X9" s="9">
        <v>0</v>
      </c>
      <c r="Y9" s="9">
        <v>99.91</v>
      </c>
      <c r="Z9" s="9">
        <v>1162</v>
      </c>
      <c r="AA9" s="9"/>
      <c r="AB9" s="9"/>
      <c r="AC9" s="9"/>
      <c r="AD9" s="9"/>
      <c r="AE9" s="9"/>
      <c r="AF9" s="9"/>
      <c r="AG9" s="9"/>
      <c r="AH9" s="9"/>
      <c r="AI9" s="9" t="s">
        <v>59</v>
      </c>
      <c r="AJ9" s="9" t="s">
        <v>60</v>
      </c>
      <c r="AK9" s="9">
        <v>2485418</v>
      </c>
      <c r="AL9" s="9" t="s">
        <v>103</v>
      </c>
      <c r="AM9" s="9" t="s">
        <v>104</v>
      </c>
      <c r="AN9" s="9" t="s">
        <v>105</v>
      </c>
      <c r="AO9" s="9">
        <v>2210</v>
      </c>
      <c r="AP9" s="9" t="s">
        <v>62</v>
      </c>
      <c r="AQ9" s="9" t="s">
        <v>106</v>
      </c>
      <c r="AR9" s="9" t="s">
        <v>81</v>
      </c>
      <c r="AS9" s="9">
        <v>9</v>
      </c>
      <c r="AT9" s="9" t="s">
        <v>107</v>
      </c>
      <c r="AU9" s="9" t="s">
        <v>108</v>
      </c>
    </row>
    <row r="10" ht="14.25" customHeight="1" spans="1:47">
      <c r="A10" s="12">
        <v>5</v>
      </c>
      <c r="B10" s="9" t="s">
        <v>109</v>
      </c>
      <c r="C10" s="9" t="s">
        <v>85</v>
      </c>
      <c r="D10" s="9" t="s">
        <v>100</v>
      </c>
      <c r="E10" s="9" t="s">
        <v>50</v>
      </c>
      <c r="F10" s="9" t="s">
        <v>51</v>
      </c>
      <c r="G10" s="9" t="s">
        <v>52</v>
      </c>
      <c r="H10" s="9" t="s">
        <v>53</v>
      </c>
      <c r="I10" s="9" t="s">
        <v>54</v>
      </c>
      <c r="J10" s="9" t="s">
        <v>68</v>
      </c>
      <c r="K10" s="9" t="s">
        <v>69</v>
      </c>
      <c r="L10" s="9">
        <v>471604</v>
      </c>
      <c r="M10" s="9">
        <v>349</v>
      </c>
      <c r="N10" s="9">
        <v>1092</v>
      </c>
      <c r="O10" s="9">
        <v>1630</v>
      </c>
      <c r="P10" s="9">
        <v>2</v>
      </c>
      <c r="Q10" s="9">
        <v>3</v>
      </c>
      <c r="R10" s="9">
        <v>7537</v>
      </c>
      <c r="S10" s="9" t="s">
        <v>101</v>
      </c>
      <c r="T10" s="9" t="s">
        <v>102</v>
      </c>
      <c r="U10" s="9">
        <v>0</v>
      </c>
      <c r="V10" s="9">
        <v>0</v>
      </c>
      <c r="W10" s="9">
        <v>0</v>
      </c>
      <c r="X10" s="9">
        <v>0</v>
      </c>
      <c r="Y10" s="9">
        <v>83.09</v>
      </c>
      <c r="Z10" s="9">
        <v>290</v>
      </c>
      <c r="AA10" s="9"/>
      <c r="AB10" s="9"/>
      <c r="AC10" s="9"/>
      <c r="AD10" s="9"/>
      <c r="AE10" s="9"/>
      <c r="AF10" s="9"/>
      <c r="AG10" s="9"/>
      <c r="AH10" s="9"/>
      <c r="AI10" s="9" t="s">
        <v>59</v>
      </c>
      <c r="AJ10" s="9" t="s">
        <v>60</v>
      </c>
      <c r="AK10" s="9">
        <v>2485418</v>
      </c>
      <c r="AL10" s="9" t="s">
        <v>103</v>
      </c>
      <c r="AM10" s="9" t="s">
        <v>104</v>
      </c>
      <c r="AN10" s="9" t="s">
        <v>48</v>
      </c>
      <c r="AO10" s="9">
        <v>2210</v>
      </c>
      <c r="AP10" s="9" t="s">
        <v>62</v>
      </c>
      <c r="AQ10" s="9" t="s">
        <v>106</v>
      </c>
      <c r="AR10" s="9" t="s">
        <v>81</v>
      </c>
      <c r="AS10" s="9">
        <v>0</v>
      </c>
      <c r="AT10" s="9" t="s">
        <v>107</v>
      </c>
      <c r="AU10" s="9" t="s">
        <v>108</v>
      </c>
    </row>
    <row r="11" ht="14.25" customHeight="1" spans="1:47">
      <c r="A11" s="12">
        <v>5</v>
      </c>
      <c r="B11" s="9" t="s">
        <v>110</v>
      </c>
      <c r="C11" s="9" t="s">
        <v>91</v>
      </c>
      <c r="D11" s="9" t="s">
        <v>100</v>
      </c>
      <c r="E11" s="9" t="s">
        <v>50</v>
      </c>
      <c r="F11" s="9" t="s">
        <v>51</v>
      </c>
      <c r="G11" s="9" t="s">
        <v>52</v>
      </c>
      <c r="H11" s="9" t="s">
        <v>53</v>
      </c>
      <c r="I11" s="9" t="s">
        <v>54</v>
      </c>
      <c r="J11" s="9" t="s">
        <v>68</v>
      </c>
      <c r="K11" s="9" t="s">
        <v>69</v>
      </c>
      <c r="L11" s="9">
        <v>501052</v>
      </c>
      <c r="M11" s="9">
        <v>349</v>
      </c>
      <c r="N11" s="9">
        <v>1092</v>
      </c>
      <c r="O11" s="9">
        <v>1630</v>
      </c>
      <c r="P11" s="9">
        <v>2</v>
      </c>
      <c r="Q11" s="9">
        <v>3</v>
      </c>
      <c r="R11" s="9">
        <v>7775</v>
      </c>
      <c r="S11" s="9" t="s">
        <v>101</v>
      </c>
      <c r="T11" s="9" t="s">
        <v>102</v>
      </c>
      <c r="U11" s="9">
        <v>0</v>
      </c>
      <c r="V11" s="9">
        <v>0</v>
      </c>
      <c r="W11" s="9">
        <v>0</v>
      </c>
      <c r="X11" s="9">
        <v>0</v>
      </c>
      <c r="Y11" s="9">
        <v>64.47</v>
      </c>
      <c r="Z11" s="9">
        <v>225</v>
      </c>
      <c r="AA11" s="9"/>
      <c r="AB11" s="9"/>
      <c r="AC11" s="9"/>
      <c r="AD11" s="9"/>
      <c r="AE11" s="9"/>
      <c r="AF11" s="9"/>
      <c r="AG11" s="9"/>
      <c r="AH11" s="9"/>
      <c r="AI11" s="9" t="s">
        <v>59</v>
      </c>
      <c r="AJ11" s="9" t="s">
        <v>60</v>
      </c>
      <c r="AK11" s="9">
        <v>2485418</v>
      </c>
      <c r="AL11" s="9" t="s">
        <v>111</v>
      </c>
      <c r="AM11" s="9" t="s">
        <v>104</v>
      </c>
      <c r="AN11" s="9" t="s">
        <v>48</v>
      </c>
      <c r="AO11" s="9">
        <v>2210</v>
      </c>
      <c r="AP11" s="9" t="s">
        <v>62</v>
      </c>
      <c r="AQ11" s="9" t="s">
        <v>106</v>
      </c>
      <c r="AR11" s="9" t="s">
        <v>81</v>
      </c>
      <c r="AS11" s="9">
        <v>0</v>
      </c>
      <c r="AT11" s="9" t="s">
        <v>107</v>
      </c>
      <c r="AU11" s="9" t="s">
        <v>108</v>
      </c>
    </row>
    <row r="12" ht="14.25" customHeight="1" spans="1:47">
      <c r="A12" s="12">
        <v>5</v>
      </c>
      <c r="B12" s="9" t="s">
        <v>112</v>
      </c>
      <c r="C12" s="9" t="s">
        <v>113</v>
      </c>
      <c r="D12" s="9" t="s">
        <v>100</v>
      </c>
      <c r="E12" s="9" t="s">
        <v>50</v>
      </c>
      <c r="F12" s="9" t="s">
        <v>51</v>
      </c>
      <c r="G12" s="9" t="s">
        <v>52</v>
      </c>
      <c r="H12" s="9" t="s">
        <v>53</v>
      </c>
      <c r="I12" s="9" t="s">
        <v>54</v>
      </c>
      <c r="J12" s="9" t="s">
        <v>68</v>
      </c>
      <c r="K12" s="9" t="s">
        <v>69</v>
      </c>
      <c r="L12" s="9">
        <v>501052</v>
      </c>
      <c r="M12" s="9">
        <v>349</v>
      </c>
      <c r="N12" s="9">
        <v>1092</v>
      </c>
      <c r="O12" s="9">
        <v>1630</v>
      </c>
      <c r="P12" s="9">
        <v>2</v>
      </c>
      <c r="Q12" s="9">
        <v>3</v>
      </c>
      <c r="R12" s="9">
        <v>7775</v>
      </c>
      <c r="S12" s="9" t="s">
        <v>101</v>
      </c>
      <c r="T12" s="9" t="s">
        <v>102</v>
      </c>
      <c r="U12" s="9">
        <v>0</v>
      </c>
      <c r="V12" s="9">
        <v>0</v>
      </c>
      <c r="W12" s="9">
        <v>0</v>
      </c>
      <c r="X12" s="9">
        <v>0</v>
      </c>
      <c r="Y12" s="9">
        <v>55.59</v>
      </c>
      <c r="Z12" s="9">
        <v>194</v>
      </c>
      <c r="AA12" s="9"/>
      <c r="AB12" s="9"/>
      <c r="AC12" s="9"/>
      <c r="AD12" s="9"/>
      <c r="AE12" s="9"/>
      <c r="AF12" s="9"/>
      <c r="AG12" s="9"/>
      <c r="AH12" s="9"/>
      <c r="AI12" s="9" t="s">
        <v>59</v>
      </c>
      <c r="AJ12" s="9" t="s">
        <v>60</v>
      </c>
      <c r="AK12" s="9">
        <v>2485418</v>
      </c>
      <c r="AL12" s="9" t="s">
        <v>79</v>
      </c>
      <c r="AM12" s="9" t="s">
        <v>72</v>
      </c>
      <c r="AN12" s="9" t="s">
        <v>48</v>
      </c>
      <c r="AO12" s="9">
        <v>2210</v>
      </c>
      <c r="AP12" s="9" t="s">
        <v>62</v>
      </c>
      <c r="AQ12" s="9" t="s">
        <v>106</v>
      </c>
      <c r="AR12" s="9" t="s">
        <v>81</v>
      </c>
      <c r="AS12" s="9">
        <v>0</v>
      </c>
      <c r="AT12" s="9" t="s">
        <v>107</v>
      </c>
      <c r="AU12" s="9" t="s">
        <v>108</v>
      </c>
    </row>
    <row r="13" ht="14.25" customHeight="1" spans="1:47">
      <c r="A13" s="12">
        <v>6</v>
      </c>
      <c r="B13" s="9" t="s">
        <v>114</v>
      </c>
      <c r="C13" s="9" t="s">
        <v>78</v>
      </c>
      <c r="D13" s="9" t="s">
        <v>115</v>
      </c>
      <c r="E13" s="9" t="s">
        <v>50</v>
      </c>
      <c r="F13" s="9" t="s">
        <v>51</v>
      </c>
      <c r="G13" s="9" t="s">
        <v>52</v>
      </c>
      <c r="H13" s="9" t="s">
        <v>53</v>
      </c>
      <c r="I13" s="9" t="s">
        <v>54</v>
      </c>
      <c r="J13" s="9" t="s">
        <v>68</v>
      </c>
      <c r="K13" s="9" t="s">
        <v>69</v>
      </c>
      <c r="L13" s="9">
        <v>1396092</v>
      </c>
      <c r="M13" s="9">
        <v>1686</v>
      </c>
      <c r="N13" s="9">
        <v>576</v>
      </c>
      <c r="O13" s="9">
        <v>1927</v>
      </c>
      <c r="P13" s="9">
        <v>1</v>
      </c>
      <c r="Q13" s="9">
        <v>3</v>
      </c>
      <c r="R13" s="9">
        <v>7490</v>
      </c>
      <c r="S13" s="9" t="s">
        <v>116</v>
      </c>
      <c r="T13" s="9" t="s">
        <v>58</v>
      </c>
      <c r="U13" s="9">
        <v>0</v>
      </c>
      <c r="V13" s="9">
        <v>0</v>
      </c>
      <c r="W13" s="9">
        <v>0</v>
      </c>
      <c r="X13" s="9">
        <v>0</v>
      </c>
      <c r="Y13" s="9">
        <v>80.07</v>
      </c>
      <c r="Z13" s="9">
        <v>1350</v>
      </c>
      <c r="AA13" s="9"/>
      <c r="AB13" s="9"/>
      <c r="AC13" s="9"/>
      <c r="AD13" s="9"/>
      <c r="AE13" s="9"/>
      <c r="AF13" s="9"/>
      <c r="AG13" s="9"/>
      <c r="AH13" s="9"/>
      <c r="AI13" s="9" t="s">
        <v>59</v>
      </c>
      <c r="AJ13" s="9" t="s">
        <v>60</v>
      </c>
      <c r="AK13" s="9">
        <v>2569700</v>
      </c>
      <c r="AL13" s="9" t="s">
        <v>117</v>
      </c>
      <c r="AM13" s="9" t="s">
        <v>118</v>
      </c>
      <c r="AN13" s="9" t="s">
        <v>48</v>
      </c>
      <c r="AO13" s="9">
        <v>2736</v>
      </c>
      <c r="AP13" s="9" t="s">
        <v>62</v>
      </c>
      <c r="AQ13" s="9" t="s">
        <v>74</v>
      </c>
      <c r="AR13" s="9" t="s">
        <v>48</v>
      </c>
      <c r="AS13" s="9">
        <v>0</v>
      </c>
      <c r="AT13" s="9" t="s">
        <v>119</v>
      </c>
      <c r="AU13" s="9" t="s">
        <v>120</v>
      </c>
    </row>
    <row r="14" ht="14.25" customHeight="1" spans="1:47">
      <c r="A14" s="12">
        <v>6</v>
      </c>
      <c r="B14" s="9" t="s">
        <v>121</v>
      </c>
      <c r="C14" s="9" t="s">
        <v>85</v>
      </c>
      <c r="D14" s="9" t="s">
        <v>115</v>
      </c>
      <c r="E14" s="9" t="s">
        <v>50</v>
      </c>
      <c r="F14" s="9" t="s">
        <v>51</v>
      </c>
      <c r="G14" s="9" t="s">
        <v>52</v>
      </c>
      <c r="H14" s="9" t="s">
        <v>53</v>
      </c>
      <c r="I14" s="9" t="s">
        <v>54</v>
      </c>
      <c r="J14" s="9" t="s">
        <v>68</v>
      </c>
      <c r="K14" s="9" t="s">
        <v>69</v>
      </c>
      <c r="L14" s="9">
        <v>657000</v>
      </c>
      <c r="M14" s="9">
        <v>500</v>
      </c>
      <c r="N14" s="9">
        <v>1314</v>
      </c>
      <c r="O14" s="9">
        <v>0</v>
      </c>
      <c r="P14" s="9">
        <v>2</v>
      </c>
      <c r="Q14" s="9">
        <v>0</v>
      </c>
      <c r="R14" s="9">
        <v>7700</v>
      </c>
      <c r="S14" s="9" t="s">
        <v>116</v>
      </c>
      <c r="T14" s="9" t="s">
        <v>58</v>
      </c>
      <c r="U14" s="9">
        <v>0</v>
      </c>
      <c r="V14" s="9">
        <v>0</v>
      </c>
      <c r="W14" s="9">
        <v>0</v>
      </c>
      <c r="X14" s="9">
        <v>0</v>
      </c>
      <c r="Y14" s="9">
        <v>6.6</v>
      </c>
      <c r="Z14" s="9">
        <v>33</v>
      </c>
      <c r="AA14" s="9"/>
      <c r="AB14" s="9"/>
      <c r="AC14" s="9"/>
      <c r="AD14" s="9"/>
      <c r="AE14" s="9"/>
      <c r="AF14" s="9"/>
      <c r="AG14" s="9"/>
      <c r="AH14" s="9"/>
      <c r="AI14" s="9" t="s">
        <v>59</v>
      </c>
      <c r="AJ14" s="9" t="s">
        <v>60</v>
      </c>
      <c r="AK14" s="9">
        <v>2569700</v>
      </c>
      <c r="AL14" s="9" t="s">
        <v>122</v>
      </c>
      <c r="AM14" s="9" t="s">
        <v>118</v>
      </c>
      <c r="AN14" s="9" t="s">
        <v>48</v>
      </c>
      <c r="AO14" s="9">
        <v>2736</v>
      </c>
      <c r="AP14" s="9" t="s">
        <v>62</v>
      </c>
      <c r="AQ14" s="9" t="s">
        <v>74</v>
      </c>
      <c r="AR14" s="9" t="s">
        <v>48</v>
      </c>
      <c r="AS14" s="9">
        <v>0</v>
      </c>
      <c r="AT14" s="9"/>
      <c r="AU14" s="9"/>
    </row>
    <row r="15" ht="14.25" customHeight="1" spans="1:47">
      <c r="A15" s="12">
        <v>7</v>
      </c>
      <c r="B15" s="9" t="s">
        <v>123</v>
      </c>
      <c r="C15" s="9" t="s">
        <v>48</v>
      </c>
      <c r="D15" s="9" t="s">
        <v>124</v>
      </c>
      <c r="E15" s="9" t="s">
        <v>50</v>
      </c>
      <c r="F15" s="9" t="s">
        <v>51</v>
      </c>
      <c r="G15" s="9" t="s">
        <v>52</v>
      </c>
      <c r="H15" s="9" t="s">
        <v>53</v>
      </c>
      <c r="I15" s="9" t="s">
        <v>54</v>
      </c>
      <c r="J15" s="9" t="s">
        <v>68</v>
      </c>
      <c r="K15" s="9" t="s">
        <v>56</v>
      </c>
      <c r="L15" s="9">
        <v>287660</v>
      </c>
      <c r="M15" s="9">
        <v>100</v>
      </c>
      <c r="N15" s="9">
        <v>2600</v>
      </c>
      <c r="O15" s="9">
        <v>3070</v>
      </c>
      <c r="P15" s="9">
        <v>4</v>
      </c>
      <c r="Q15" s="9">
        <v>5</v>
      </c>
      <c r="R15" s="9">
        <v>10500</v>
      </c>
      <c r="S15" s="9" t="s">
        <v>125</v>
      </c>
      <c r="T15" s="9" t="s">
        <v>58</v>
      </c>
      <c r="U15" s="9">
        <v>0</v>
      </c>
      <c r="V15" s="9">
        <v>0</v>
      </c>
      <c r="W15" s="9">
        <v>0</v>
      </c>
      <c r="X15" s="9">
        <v>0</v>
      </c>
      <c r="Y15" s="9">
        <v>17</v>
      </c>
      <c r="Z15" s="9">
        <v>17</v>
      </c>
      <c r="AA15" s="9"/>
      <c r="AB15" s="9"/>
      <c r="AC15" s="9"/>
      <c r="AD15" s="9"/>
      <c r="AE15" s="9"/>
      <c r="AF15" s="9"/>
      <c r="AG15" s="9"/>
      <c r="AH15" s="9"/>
      <c r="AI15" s="9" t="s">
        <v>59</v>
      </c>
      <c r="AJ15" s="9" t="s">
        <v>60</v>
      </c>
      <c r="AK15" s="9">
        <v>287660</v>
      </c>
      <c r="AL15" s="9" t="s">
        <v>126</v>
      </c>
      <c r="AM15" s="9" t="s">
        <v>72</v>
      </c>
      <c r="AN15" s="9" t="s">
        <v>48</v>
      </c>
      <c r="AO15" s="9">
        <v>100</v>
      </c>
      <c r="AP15" s="9" t="s">
        <v>62</v>
      </c>
      <c r="AQ15" s="9" t="s">
        <v>74</v>
      </c>
      <c r="AR15" s="9" t="s">
        <v>48</v>
      </c>
      <c r="AS15" s="9">
        <v>0</v>
      </c>
      <c r="AT15" s="9" t="s">
        <v>127</v>
      </c>
      <c r="AU15" s="9" t="s">
        <v>128</v>
      </c>
    </row>
    <row r="16" ht="14.25" customHeight="1" spans="1:47">
      <c r="A16" s="12">
        <v>8</v>
      </c>
      <c r="B16" s="9" t="s">
        <v>129</v>
      </c>
      <c r="C16" s="9" t="s">
        <v>48</v>
      </c>
      <c r="D16" s="9" t="s">
        <v>130</v>
      </c>
      <c r="E16" s="9" t="s">
        <v>50</v>
      </c>
      <c r="F16" s="9" t="s">
        <v>51</v>
      </c>
      <c r="G16" s="9" t="s">
        <v>52</v>
      </c>
      <c r="H16" s="9" t="s">
        <v>53</v>
      </c>
      <c r="I16" s="9" t="s">
        <v>54</v>
      </c>
      <c r="J16" s="9" t="s">
        <v>68</v>
      </c>
      <c r="K16" s="9" t="s">
        <v>69</v>
      </c>
      <c r="L16" s="9">
        <v>340260</v>
      </c>
      <c r="M16" s="9">
        <v>354</v>
      </c>
      <c r="N16" s="9">
        <v>430</v>
      </c>
      <c r="O16" s="9">
        <v>1600</v>
      </c>
      <c r="P16" s="9">
        <v>1</v>
      </c>
      <c r="Q16" s="9">
        <v>3</v>
      </c>
      <c r="R16" s="9">
        <v>7625</v>
      </c>
      <c r="S16" s="9" t="s">
        <v>131</v>
      </c>
      <c r="T16" s="9" t="s">
        <v>58</v>
      </c>
      <c r="U16" s="9">
        <v>0</v>
      </c>
      <c r="V16" s="9">
        <v>0</v>
      </c>
      <c r="W16" s="9">
        <v>0</v>
      </c>
      <c r="X16" s="9">
        <v>0</v>
      </c>
      <c r="Y16" s="9">
        <v>78.53</v>
      </c>
      <c r="Z16" s="9">
        <v>278</v>
      </c>
      <c r="AA16" s="9"/>
      <c r="AB16" s="9"/>
      <c r="AC16" s="9"/>
      <c r="AD16" s="9"/>
      <c r="AE16" s="9"/>
      <c r="AF16" s="9"/>
      <c r="AG16" s="9"/>
      <c r="AH16" s="9"/>
      <c r="AI16" s="9" t="s">
        <v>59</v>
      </c>
      <c r="AJ16" s="9" t="s">
        <v>60</v>
      </c>
      <c r="AK16" s="9">
        <v>340260</v>
      </c>
      <c r="AL16" s="9" t="s">
        <v>79</v>
      </c>
      <c r="AM16" s="9" t="s">
        <v>132</v>
      </c>
      <c r="AN16" s="9" t="s">
        <v>133</v>
      </c>
      <c r="AO16" s="9">
        <v>354</v>
      </c>
      <c r="AP16" s="9" t="s">
        <v>62</v>
      </c>
      <c r="AQ16" s="9" t="s">
        <v>134</v>
      </c>
      <c r="AR16" s="9" t="s">
        <v>81</v>
      </c>
      <c r="AS16" s="9">
        <v>19</v>
      </c>
      <c r="AT16" s="9" t="s">
        <v>135</v>
      </c>
      <c r="AU16" s="9" t="s">
        <v>83</v>
      </c>
    </row>
    <row r="17" ht="14.25" customHeight="1" spans="1:47">
      <c r="A17" s="12">
        <v>9</v>
      </c>
      <c r="B17" s="9" t="s">
        <v>136</v>
      </c>
      <c r="C17" s="9" t="s">
        <v>48</v>
      </c>
      <c r="D17" s="9" t="s">
        <v>137</v>
      </c>
      <c r="E17" s="9" t="s">
        <v>50</v>
      </c>
      <c r="F17" s="9" t="s">
        <v>51</v>
      </c>
      <c r="G17" s="9" t="s">
        <v>52</v>
      </c>
      <c r="H17" s="9" t="s">
        <v>53</v>
      </c>
      <c r="I17" s="9" t="s">
        <v>54</v>
      </c>
      <c r="J17" s="9" t="s">
        <v>68</v>
      </c>
      <c r="K17" s="9" t="s">
        <v>69</v>
      </c>
      <c r="L17" s="9">
        <v>388550</v>
      </c>
      <c r="M17" s="9">
        <v>390</v>
      </c>
      <c r="N17" s="9">
        <v>530</v>
      </c>
      <c r="O17" s="9">
        <v>1550</v>
      </c>
      <c r="P17" s="9">
        <v>1</v>
      </c>
      <c r="Q17" s="9">
        <v>3</v>
      </c>
      <c r="R17" s="9">
        <v>7850</v>
      </c>
      <c r="S17" s="9" t="s">
        <v>138</v>
      </c>
      <c r="T17" s="9" t="s">
        <v>58</v>
      </c>
      <c r="U17" s="9">
        <v>0</v>
      </c>
      <c r="V17" s="9">
        <v>0</v>
      </c>
      <c r="W17" s="9">
        <v>0</v>
      </c>
      <c r="X17" s="9">
        <v>0</v>
      </c>
      <c r="Y17" s="9">
        <v>42.56</v>
      </c>
      <c r="Z17" s="9">
        <v>166</v>
      </c>
      <c r="AA17" s="9"/>
      <c r="AB17" s="9"/>
      <c r="AC17" s="9"/>
      <c r="AD17" s="9"/>
      <c r="AE17" s="9"/>
      <c r="AF17" s="9"/>
      <c r="AG17" s="9"/>
      <c r="AH17" s="9"/>
      <c r="AI17" s="9" t="s">
        <v>59</v>
      </c>
      <c r="AJ17" s="9" t="s">
        <v>60</v>
      </c>
      <c r="AK17" s="9">
        <v>388550</v>
      </c>
      <c r="AL17" s="9" t="s">
        <v>117</v>
      </c>
      <c r="AM17" s="9" t="s">
        <v>104</v>
      </c>
      <c r="AN17" s="9" t="s">
        <v>48</v>
      </c>
      <c r="AO17" s="9">
        <v>390</v>
      </c>
      <c r="AP17" s="9" t="s">
        <v>62</v>
      </c>
      <c r="AQ17" s="9" t="s">
        <v>139</v>
      </c>
      <c r="AR17" s="9" t="s">
        <v>81</v>
      </c>
      <c r="AS17" s="9">
        <v>0</v>
      </c>
      <c r="AT17" s="9" t="s">
        <v>140</v>
      </c>
      <c r="AU17" s="9" t="s">
        <v>141</v>
      </c>
    </row>
    <row r="18" ht="14.25" customHeight="1" spans="1:47">
      <c r="A18" s="12">
        <v>10</v>
      </c>
      <c r="B18" s="9" t="s">
        <v>142</v>
      </c>
      <c r="C18" s="9" t="s">
        <v>48</v>
      </c>
      <c r="D18" s="9" t="s">
        <v>143</v>
      </c>
      <c r="E18" s="9" t="s">
        <v>50</v>
      </c>
      <c r="F18" s="9" t="s">
        <v>51</v>
      </c>
      <c r="G18" s="9" t="s">
        <v>52</v>
      </c>
      <c r="H18" s="9" t="s">
        <v>53</v>
      </c>
      <c r="I18" s="9" t="s">
        <v>54</v>
      </c>
      <c r="J18" s="9" t="s">
        <v>68</v>
      </c>
      <c r="K18" s="9" t="s">
        <v>69</v>
      </c>
      <c r="L18" s="9">
        <v>1053543</v>
      </c>
      <c r="M18" s="9">
        <v>956</v>
      </c>
      <c r="N18" s="9">
        <v>650</v>
      </c>
      <c r="O18" s="9">
        <v>1400</v>
      </c>
      <c r="P18" s="9">
        <v>1</v>
      </c>
      <c r="Q18" s="9">
        <v>3</v>
      </c>
      <c r="R18" s="9">
        <v>6342</v>
      </c>
      <c r="S18" s="9" t="s">
        <v>144</v>
      </c>
      <c r="T18" s="9" t="s">
        <v>145</v>
      </c>
      <c r="U18" s="9">
        <v>0</v>
      </c>
      <c r="V18" s="9">
        <v>0</v>
      </c>
      <c r="W18" s="9">
        <v>0</v>
      </c>
      <c r="X18" s="9">
        <v>0</v>
      </c>
      <c r="Y18" s="9">
        <v>96.23</v>
      </c>
      <c r="Z18" s="9">
        <v>920</v>
      </c>
      <c r="AA18" s="9"/>
      <c r="AB18" s="9"/>
      <c r="AC18" s="9"/>
      <c r="AD18" s="9"/>
      <c r="AE18" s="9"/>
      <c r="AF18" s="9"/>
      <c r="AG18" s="9"/>
      <c r="AH18" s="9"/>
      <c r="AI18" s="9" t="s">
        <v>59</v>
      </c>
      <c r="AJ18" s="9" t="s">
        <v>60</v>
      </c>
      <c r="AK18" s="9">
        <v>1053543</v>
      </c>
      <c r="AL18" s="9" t="s">
        <v>71</v>
      </c>
      <c r="AM18" s="9" t="s">
        <v>146</v>
      </c>
      <c r="AN18" s="9" t="s">
        <v>48</v>
      </c>
      <c r="AO18" s="9">
        <v>956</v>
      </c>
      <c r="AP18" s="9" t="s">
        <v>62</v>
      </c>
      <c r="AQ18" s="9" t="s">
        <v>147</v>
      </c>
      <c r="AR18" s="9" t="s">
        <v>148</v>
      </c>
      <c r="AS18" s="9">
        <v>0</v>
      </c>
      <c r="AT18" s="9"/>
      <c r="AU18" s="9"/>
    </row>
    <row r="19" ht="14.25" customHeight="1" spans="1:47">
      <c r="A19" s="12">
        <v>11</v>
      </c>
      <c r="B19" s="9" t="s">
        <v>149</v>
      </c>
      <c r="C19" s="9" t="s">
        <v>48</v>
      </c>
      <c r="D19" s="9" t="s">
        <v>143</v>
      </c>
      <c r="E19" s="9" t="s">
        <v>50</v>
      </c>
      <c r="F19" s="9" t="s">
        <v>51</v>
      </c>
      <c r="G19" s="9" t="s">
        <v>52</v>
      </c>
      <c r="H19" s="9" t="s">
        <v>53</v>
      </c>
      <c r="I19" s="9" t="s">
        <v>54</v>
      </c>
      <c r="J19" s="9" t="s">
        <v>68</v>
      </c>
      <c r="K19" s="9" t="s">
        <v>69</v>
      </c>
      <c r="L19" s="9">
        <v>363636</v>
      </c>
      <c r="M19" s="9">
        <v>581</v>
      </c>
      <c r="N19" s="9">
        <v>539</v>
      </c>
      <c r="O19" s="9">
        <v>1900</v>
      </c>
      <c r="P19" s="9">
        <v>1</v>
      </c>
      <c r="Q19" s="9">
        <v>4</v>
      </c>
      <c r="R19" s="9">
        <v>8581</v>
      </c>
      <c r="S19" s="9" t="s">
        <v>150</v>
      </c>
      <c r="T19" s="9" t="s">
        <v>151</v>
      </c>
      <c r="U19" s="9">
        <v>0</v>
      </c>
      <c r="V19" s="9">
        <v>0</v>
      </c>
      <c r="W19" s="9">
        <v>0</v>
      </c>
      <c r="X19" s="9">
        <v>0</v>
      </c>
      <c r="Y19" s="9">
        <v>99.14</v>
      </c>
      <c r="Z19" s="9">
        <v>576</v>
      </c>
      <c r="AA19" s="9"/>
      <c r="AB19" s="9"/>
      <c r="AC19" s="9"/>
      <c r="AD19" s="9"/>
      <c r="AE19" s="9"/>
      <c r="AF19" s="9"/>
      <c r="AG19" s="9"/>
      <c r="AH19" s="9"/>
      <c r="AI19" s="9" t="s">
        <v>59</v>
      </c>
      <c r="AJ19" s="9" t="s">
        <v>60</v>
      </c>
      <c r="AK19" s="9">
        <v>363636</v>
      </c>
      <c r="AL19" s="9" t="s">
        <v>152</v>
      </c>
      <c r="AM19" s="9" t="s">
        <v>153</v>
      </c>
      <c r="AN19" s="9" t="s">
        <v>48</v>
      </c>
      <c r="AO19" s="9">
        <v>581</v>
      </c>
      <c r="AP19" s="9" t="s">
        <v>62</v>
      </c>
      <c r="AQ19" s="9" t="s">
        <v>74</v>
      </c>
      <c r="AR19" s="9" t="s">
        <v>148</v>
      </c>
      <c r="AS19" s="9">
        <v>0</v>
      </c>
      <c r="AT19" s="9" t="s">
        <v>154</v>
      </c>
      <c r="AU19" s="9" t="s">
        <v>155</v>
      </c>
    </row>
    <row r="20" ht="14.25" customHeight="1" spans="1:47">
      <c r="A20" s="12">
        <v>12</v>
      </c>
      <c r="B20" s="9" t="s">
        <v>156</v>
      </c>
      <c r="C20" s="9" t="s">
        <v>48</v>
      </c>
      <c r="D20" s="9" t="s">
        <v>157</v>
      </c>
      <c r="E20" s="9" t="s">
        <v>50</v>
      </c>
      <c r="F20" s="9" t="s">
        <v>51</v>
      </c>
      <c r="G20" s="9" t="s">
        <v>52</v>
      </c>
      <c r="H20" s="9" t="s">
        <v>53</v>
      </c>
      <c r="I20" s="9" t="s">
        <v>54</v>
      </c>
      <c r="J20" s="9" t="s">
        <v>158</v>
      </c>
      <c r="K20" s="9"/>
      <c r="L20" s="9">
        <v>213422</v>
      </c>
      <c r="M20" s="9">
        <v>152</v>
      </c>
      <c r="N20" s="9">
        <v>820</v>
      </c>
      <c r="O20" s="9">
        <v>2937</v>
      </c>
      <c r="P20" s="9">
        <v>0</v>
      </c>
      <c r="Q20" s="9">
        <v>0</v>
      </c>
      <c r="R20" s="9">
        <v>3950</v>
      </c>
      <c r="S20" s="9" t="s">
        <v>159</v>
      </c>
      <c r="T20" s="9" t="s">
        <v>58</v>
      </c>
      <c r="U20" s="9">
        <v>0</v>
      </c>
      <c r="V20" s="9">
        <v>0</v>
      </c>
      <c r="W20" s="9">
        <v>0</v>
      </c>
      <c r="X20" s="9">
        <v>0</v>
      </c>
      <c r="Y20" s="9">
        <v>99.34</v>
      </c>
      <c r="Z20" s="9">
        <v>151</v>
      </c>
      <c r="AA20" s="9"/>
      <c r="AB20" s="9"/>
      <c r="AC20" s="9"/>
      <c r="AD20" s="9"/>
      <c r="AE20" s="9"/>
      <c r="AF20" s="9"/>
      <c r="AG20" s="9"/>
      <c r="AH20" s="9"/>
      <c r="AI20" s="9" t="s">
        <v>59</v>
      </c>
      <c r="AJ20" s="9" t="s">
        <v>60</v>
      </c>
      <c r="AK20" s="9">
        <v>213422</v>
      </c>
      <c r="AL20" s="9" t="s">
        <v>94</v>
      </c>
      <c r="AM20" s="9" t="s">
        <v>160</v>
      </c>
      <c r="AN20" s="9" t="s">
        <v>161</v>
      </c>
      <c r="AO20" s="9">
        <v>152</v>
      </c>
      <c r="AP20" s="9"/>
      <c r="AQ20" s="9" t="s">
        <v>162</v>
      </c>
      <c r="AR20" s="9" t="s">
        <v>48</v>
      </c>
      <c r="AS20" s="9">
        <v>5</v>
      </c>
      <c r="AT20" s="9" t="s">
        <v>163</v>
      </c>
      <c r="AU20" s="9" t="s">
        <v>164</v>
      </c>
    </row>
    <row r="21" ht="14.25" customHeight="1" spans="1:2">
      <c r="A21" s="9"/>
      <c r="B21" s="9"/>
    </row>
    <row r="22" ht="14.25" customHeight="1" spans="1:47">
      <c r="A22" s="9"/>
      <c r="B22" s="13" t="s">
        <v>165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</row>
    <row r="23" ht="14.25" customHeight="1" spans="1:47">
      <c r="A23" s="9"/>
      <c r="B23" s="13" t="s">
        <v>166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</row>
    <row r="24" ht="14.25" customHeight="1" spans="1:4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</row>
    <row r="25" ht="14.25" customHeight="1" spans="1:4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</row>
    <row r="26" ht="14.25" customHeight="1" spans="1:4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</row>
    <row r="27" ht="14.25" customHeight="1" spans="1:4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</row>
    <row r="28" ht="14.25" customHeight="1" spans="1:4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</row>
    <row r="29" ht="14.25" customHeight="1" spans="1:4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</row>
    <row r="30" ht="14.25" customHeight="1" spans="1:4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</row>
    <row r="31" ht="14.25" customHeight="1" spans="1:4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</row>
    <row r="32" ht="14.25" customHeight="1" spans="1:4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</row>
    <row r="33" ht="14.25" customHeight="1" spans="1:4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</row>
    <row r="34" ht="14.25" customHeight="1" spans="1:4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</row>
    <row r="35" ht="14.25" customHeight="1" spans="1:4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</row>
    <row r="36" ht="14.25" customHeight="1" spans="1:4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</row>
    <row r="37" ht="14.25" customHeight="1" spans="1:4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</row>
    <row r="38" ht="14.25" customHeight="1" spans="1:4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</row>
    <row r="39" ht="14.25" customHeight="1" spans="1:4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</row>
    <row r="40" ht="14.25" customHeight="1" spans="1:4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</row>
    <row r="41" ht="14.25" customHeight="1" spans="1:4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</row>
    <row r="42" ht="14.25" customHeight="1" spans="1:4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</row>
    <row r="43" ht="14.25" customHeight="1" spans="1:4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</row>
    <row r="44" ht="14.25" customHeight="1" spans="1:4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</row>
    <row r="45" ht="14.25" customHeight="1" spans="1:4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</row>
    <row r="46" ht="14.25" customHeight="1" spans="1:4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</row>
    <row r="47" ht="14.25" customHeight="1" spans="1: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</row>
    <row r="48" ht="14.25" customHeight="1" spans="1:4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</row>
    <row r="49" ht="14.25" customHeight="1" spans="1:4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</row>
    <row r="50" ht="14.25" customHeight="1" spans="1:4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</row>
    <row r="51" ht="14.25" customHeight="1" spans="1:4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</row>
    <row r="52" ht="14.25" customHeight="1" spans="1:4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</row>
    <row r="53" ht="14.25" customHeight="1" spans="1:4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</row>
    <row r="54" ht="14.25" customHeight="1" spans="1:4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</row>
    <row r="55" ht="14.25" customHeight="1" spans="1:4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</row>
    <row r="56" ht="14.25" customHeight="1" spans="1:4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</row>
    <row r="57" ht="14.25" customHeight="1" spans="1:4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</row>
    <row r="58" ht="14.25" customHeight="1" spans="1:4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</row>
    <row r="59" ht="14.25" customHeight="1" spans="1:4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</row>
    <row r="60" ht="14.25" customHeight="1" spans="1:4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</row>
    <row r="61" ht="14.25" customHeight="1" spans="1:4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</row>
    <row r="62" ht="14.25" customHeight="1" spans="1:4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</row>
    <row r="63" ht="14.25" customHeight="1" spans="1:4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</row>
    <row r="64" ht="14.25" customHeight="1" spans="1:4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</row>
    <row r="65" ht="14.25" customHeight="1" spans="1:4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</row>
    <row r="66" ht="14.25" customHeight="1" spans="1:4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</row>
    <row r="67" ht="14.25" customHeight="1" spans="1:4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</row>
    <row r="68" ht="14.25" customHeight="1" spans="1:4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</row>
    <row r="69" ht="14.25" customHeight="1" spans="1:4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</row>
    <row r="70" ht="14.25" customHeight="1" spans="1:4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</row>
    <row r="71" ht="14.25" customHeight="1" spans="1:4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</row>
    <row r="72" ht="14.25" customHeight="1" spans="1:4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</row>
    <row r="73" ht="14.25" customHeight="1" spans="1:4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</row>
    <row r="74" ht="14.25" customHeight="1" spans="1:4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</row>
    <row r="75" ht="14.25" customHeight="1" spans="1:4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</row>
    <row r="76" ht="14.25" customHeight="1" spans="1:4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</row>
    <row r="77" ht="14.25" customHeight="1" spans="1:4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</row>
    <row r="78" ht="14.25" customHeight="1" spans="1:4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</row>
    <row r="79" ht="14.25" customHeight="1" spans="1:4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</row>
    <row r="80" ht="14.25" customHeight="1" spans="1:4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</row>
    <row r="81" ht="14.25" customHeight="1" spans="1:4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</row>
    <row r="82" ht="14.25" customHeight="1" spans="1:4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</row>
    <row r="83" ht="14.25" customHeight="1" spans="1:4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</row>
    <row r="84" ht="14.25" customHeight="1" spans="1:4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</row>
    <row r="85" ht="14.25" customHeight="1" spans="1:4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</row>
    <row r="86" ht="14.25" customHeight="1" spans="1:4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</row>
    <row r="87" ht="14.25" customHeight="1" spans="1:4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</row>
    <row r="88" ht="14.25" customHeight="1" spans="1:4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</row>
    <row r="89" ht="14.25" customHeight="1" spans="1:4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</row>
    <row r="90" ht="14.25" customHeight="1" spans="1:4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</row>
    <row r="91" ht="14.25" customHeight="1" spans="1:4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</row>
    <row r="92" ht="14.25" customHeight="1" spans="1:4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</row>
    <row r="93" ht="14.25" customHeight="1" spans="1:4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</row>
    <row r="94" ht="14.25" customHeight="1" spans="1:4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</row>
    <row r="95" ht="14.25" customHeight="1" spans="1:4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</row>
    <row r="96" ht="14.25" customHeight="1" spans="1:4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</row>
    <row r="97" ht="14.25" customHeight="1" spans="1:4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</row>
    <row r="98" ht="14.25" customHeight="1" spans="1:4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</row>
    <row r="99" ht="14.25" customHeight="1" spans="1:4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</row>
    <row r="100" ht="14.25" customHeight="1" spans="1:4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</row>
    <row r="101" ht="14.25" customHeight="1" spans="1:4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</row>
    <row r="102" ht="14.25" customHeight="1" spans="1:4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</row>
    <row r="103" ht="14.25" customHeight="1" spans="1:4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</row>
    <row r="104" ht="14.25" customHeight="1" spans="1:4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</row>
    <row r="105" ht="14.25" customHeight="1" spans="1:4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</row>
    <row r="106" ht="14.25" customHeight="1" spans="1:4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</row>
    <row r="107" ht="14.25" customHeight="1" spans="1:4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</row>
    <row r="108" ht="14.25" customHeight="1" spans="1:4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</row>
    <row r="109" ht="14.25" customHeight="1" spans="1:4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</row>
    <row r="110" ht="14.25" customHeight="1" spans="1:4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</row>
    <row r="111" ht="14.25" customHeight="1" spans="1:4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</row>
    <row r="112" ht="14.25" customHeight="1" spans="1:4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</row>
    <row r="113" ht="14.25" customHeight="1" spans="1:4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</row>
    <row r="114" ht="14.25" customHeight="1" spans="1:4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</row>
    <row r="115" ht="14.25" customHeight="1" spans="1:4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</row>
    <row r="116" ht="14.25" customHeight="1" spans="1:4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</row>
    <row r="117" ht="14.25" customHeight="1" spans="1:4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</row>
    <row r="118" ht="14.25" customHeight="1" spans="1:4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</row>
    <row r="119" ht="14.25" customHeight="1" spans="1:4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</row>
    <row r="120" ht="14.25" customHeight="1" spans="1:4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</row>
    <row r="121" ht="14.25" customHeight="1" spans="1:4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</row>
    <row r="122" ht="14.25" customHeight="1" spans="1:4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</row>
    <row r="123" ht="14.25" customHeight="1" spans="1:4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</row>
    <row r="124" ht="14.25" customHeight="1" spans="1:4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</row>
    <row r="125" ht="14.25" customHeight="1" spans="1:4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</row>
    <row r="126" ht="14.25" customHeight="1" spans="1:4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</row>
    <row r="127" ht="14.25" customHeight="1" spans="1:4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</row>
    <row r="128" ht="14.25" customHeight="1" spans="1:4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</row>
    <row r="129" ht="14.25" customHeight="1" spans="1:4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</row>
    <row r="130" ht="14.25" customHeight="1" spans="1:4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</row>
    <row r="131" ht="14.25" customHeight="1" spans="1:4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</row>
    <row r="132" ht="14.25" customHeight="1" spans="1:4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</row>
    <row r="133" ht="14.25" customHeight="1" spans="1:4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</row>
    <row r="134" ht="14.25" customHeight="1" spans="1:4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</row>
    <row r="135" ht="14.25" customHeight="1" spans="1:4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</row>
    <row r="136" ht="14.25" customHeight="1" spans="1:4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</row>
    <row r="137" ht="14.25" customHeight="1" spans="1:4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</row>
    <row r="138" ht="14.25" customHeight="1" spans="1:4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</row>
    <row r="139" ht="14.25" customHeight="1" spans="1:4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</row>
    <row r="140" ht="14.25" customHeight="1" spans="1:4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</row>
    <row r="141" ht="14.25" customHeight="1" spans="1:4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</row>
    <row r="142" ht="14.25" customHeight="1" spans="1:4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</row>
    <row r="143" ht="14.25" customHeight="1" spans="1:4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</row>
    <row r="144" ht="14.25" customHeight="1" spans="1:4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</row>
    <row r="145" ht="14.25" customHeight="1" spans="1:4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</row>
    <row r="146" ht="14.25" customHeight="1" spans="1:4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</row>
    <row r="147" ht="14.25" customHeight="1" spans="1: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</row>
    <row r="148" ht="14.25" customHeight="1" spans="1:4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</row>
    <row r="149" ht="14.25" customHeight="1" spans="1:4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</row>
    <row r="150" ht="14.25" customHeight="1" spans="1:4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</row>
    <row r="151" ht="14.25" customHeight="1" spans="1:4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</row>
    <row r="152" ht="14.25" customHeight="1" spans="1:4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</row>
    <row r="153" ht="14.25" customHeight="1" spans="1:4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</row>
    <row r="154" ht="14.25" customHeight="1" spans="1:4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</row>
    <row r="155" ht="14.25" customHeight="1" spans="1:4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</row>
    <row r="156" ht="14.25" customHeight="1" spans="1:4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</row>
    <row r="157" ht="14.25" customHeight="1" spans="1:4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</row>
    <row r="158" ht="14.25" customHeight="1" spans="1:4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</row>
    <row r="159" ht="14.25" customHeight="1" spans="1:4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</row>
    <row r="160" ht="14.25" customHeight="1" spans="1:4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</row>
    <row r="161" ht="14.25" customHeight="1" spans="1:4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</row>
    <row r="162" ht="14.25" customHeight="1" spans="1:4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</row>
    <row r="163" ht="14.25" customHeight="1" spans="1:4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</row>
    <row r="164" ht="14.25" customHeight="1" spans="1:4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</row>
    <row r="165" ht="14.25" customHeight="1" spans="1:4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</row>
    <row r="166" ht="14.25" customHeight="1" spans="1:4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</row>
    <row r="167" ht="14.25" customHeight="1" spans="1:4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</row>
    <row r="168" ht="14.25" customHeight="1" spans="1:4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</row>
    <row r="169" ht="14.25" customHeight="1" spans="1:4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</row>
    <row r="170" ht="14.25" customHeight="1" spans="1:4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</row>
    <row r="171" ht="14.25" customHeight="1" spans="1:4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</row>
    <row r="172" ht="14.25" customHeight="1" spans="1:4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</row>
    <row r="173" ht="14.25" customHeight="1" spans="1:4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</row>
    <row r="174" ht="14.25" customHeight="1" spans="1:4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</row>
    <row r="175" ht="14.25" customHeight="1" spans="1:4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</row>
    <row r="176" ht="14.25" customHeight="1" spans="1:4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</row>
    <row r="177" ht="14.25" customHeight="1" spans="1:4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</row>
    <row r="178" ht="14.25" customHeight="1" spans="1:4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</row>
    <row r="179" ht="14.25" customHeight="1" spans="1:4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</row>
    <row r="180" ht="14.25" customHeight="1" spans="1:4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</row>
    <row r="181" ht="14.25" customHeight="1" spans="1:4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</row>
    <row r="182" ht="14.25" customHeight="1" spans="1:4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</row>
    <row r="183" ht="14.25" customHeight="1" spans="1:4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</row>
    <row r="184" ht="14.25" customHeight="1" spans="1:4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</row>
    <row r="185" ht="14.25" customHeight="1" spans="1:4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</row>
    <row r="186" ht="14.25" customHeight="1" spans="1:4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</row>
    <row r="187" ht="14.25" customHeight="1" spans="1:4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</row>
    <row r="188" ht="14.25" customHeight="1" spans="1:4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</row>
    <row r="189" ht="14.25" customHeight="1" spans="1:4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</row>
    <row r="190" ht="14.25" customHeight="1" spans="1:4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</row>
    <row r="191" ht="14.25" customHeight="1" spans="1:4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</row>
    <row r="192" ht="14.25" customHeight="1" spans="1:4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</row>
    <row r="193" ht="14.25" customHeight="1" spans="1:4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</row>
    <row r="194" ht="14.25" customHeight="1" spans="1:4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</row>
    <row r="195" ht="14.25" customHeight="1" spans="1:4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</row>
    <row r="196" ht="14.25" customHeight="1" spans="1:4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</row>
    <row r="197" ht="14.25" customHeight="1" spans="1:4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</row>
    <row r="198" ht="14.25" customHeight="1" spans="1:4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</row>
    <row r="199" ht="14.25" customHeight="1" spans="1:4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</row>
    <row r="200" ht="14.25" customHeight="1" spans="1:4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</row>
    <row r="201" ht="14.25" customHeight="1" spans="1:47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</row>
    <row r="202" ht="14.25" customHeight="1" spans="1:47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</row>
    <row r="203" ht="14.25" customHeight="1" spans="1:47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</row>
    <row r="204" ht="14.25" customHeight="1" spans="1:47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</row>
    <row r="205" ht="14.25" customHeight="1" spans="1:47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</row>
    <row r="206" ht="14.25" customHeight="1" spans="1:47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</row>
    <row r="207" ht="14.25" customHeight="1" spans="1:4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</row>
    <row r="208" ht="14.25" customHeight="1" spans="1:47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</row>
    <row r="209" ht="14.25" customHeight="1" spans="1:47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</row>
    <row r="210" ht="14.25" customHeight="1" spans="1:47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</row>
    <row r="211" ht="14.25" customHeight="1" spans="1:47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</row>
    <row r="212" ht="14.25" customHeight="1" spans="1:47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</row>
    <row r="213" ht="14.25" customHeight="1" spans="1:47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</row>
    <row r="214" ht="14.25" customHeight="1" spans="1:47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</row>
    <row r="215" ht="14.25" customHeight="1" spans="1:47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</row>
    <row r="216" ht="14.25" customHeight="1" spans="1:47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</row>
    <row r="217" ht="14.25" customHeight="1" spans="1:4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</row>
    <row r="218" ht="14.25" customHeight="1" spans="1:47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</row>
    <row r="219" ht="14.25" customHeight="1" spans="1:47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</row>
    <row r="220" ht="14.25" customHeight="1" spans="1:47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</row>
    <row r="221" ht="14.25" customHeight="1" spans="1:47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</row>
    <row r="222" ht="14.25" customHeight="1" spans="1:47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</row>
    <row r="223" ht="14.25" customHeight="1" spans="1:47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</row>
    <row r="224" ht="14.25" customHeight="1" spans="1:47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</row>
    <row r="225" ht="14.25" customHeight="1" spans="1:47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</row>
    <row r="226" ht="14.25" customHeight="1" spans="1:47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</row>
    <row r="227" ht="14.25" customHeight="1" spans="1:4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</row>
    <row r="228" ht="14.25" customHeight="1" spans="1:47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</row>
    <row r="229" ht="14.25" customHeight="1" spans="1:47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</row>
    <row r="230" ht="14.25" customHeight="1" spans="1:47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</row>
    <row r="231" ht="14.25" customHeight="1" spans="1:47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</row>
    <row r="232" ht="14.25" customHeight="1" spans="1:47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</row>
    <row r="233" ht="14.25" customHeight="1" spans="1:47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</row>
    <row r="234" ht="14.25" customHeight="1" spans="1:47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</row>
    <row r="235" ht="14.25" customHeight="1" spans="1:47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</row>
    <row r="236" ht="14.25" customHeight="1" spans="1:47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</row>
    <row r="237" ht="14.25" customHeight="1" spans="1:4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</row>
    <row r="238" ht="14.25" customHeight="1" spans="1:47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</row>
    <row r="239" ht="14.25" customHeight="1" spans="1:47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</row>
    <row r="240" ht="14.25" customHeight="1" spans="1:47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</row>
    <row r="241" ht="14.25" customHeight="1" spans="1:47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</row>
    <row r="242" ht="14.25" customHeight="1" spans="1:47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</row>
    <row r="243" ht="14.25" customHeight="1" spans="1:47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</row>
    <row r="244" ht="14.25" customHeight="1" spans="1:47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</row>
    <row r="245" ht="14.25" customHeight="1" spans="1:47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</row>
    <row r="246" ht="14.25" customHeight="1" spans="1:47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</row>
    <row r="247" ht="14.25" customHeight="1" spans="1: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</row>
    <row r="248" ht="14.25" customHeight="1" spans="1:47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</row>
    <row r="249" ht="14.25" customHeight="1" spans="1:47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</row>
    <row r="250" ht="14.25" customHeight="1" spans="1:47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</row>
    <row r="251" ht="14.25" customHeight="1" spans="1:47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</row>
    <row r="252" ht="14.25" customHeight="1" spans="1:47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</row>
    <row r="253" ht="14.25" customHeight="1" spans="1:47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</row>
    <row r="254" ht="14.25" customHeight="1" spans="1:47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</row>
    <row r="255" ht="14.25" customHeight="1" spans="1:47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</row>
    <row r="256" ht="14.25" customHeight="1" spans="1:47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</row>
    <row r="257" ht="14.25" customHeight="1" spans="1:4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</row>
    <row r="258" ht="14.25" customHeight="1" spans="1:47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</row>
    <row r="259" ht="14.25" customHeight="1" spans="1:47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</row>
    <row r="260" ht="14.25" customHeight="1" spans="1:47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</row>
    <row r="261" ht="14.25" customHeight="1" spans="1:47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</row>
    <row r="262" ht="14.25" customHeight="1" spans="1:47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</row>
    <row r="263" ht="14.25" customHeight="1" spans="1:47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</row>
    <row r="264" ht="14.25" customHeight="1" spans="1:47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</row>
    <row r="265" ht="14.25" customHeight="1" spans="1:47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</row>
    <row r="266" ht="14.25" customHeight="1" spans="1:47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</row>
    <row r="267" ht="14.25" customHeight="1" spans="1:4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</row>
    <row r="268" ht="14.25" customHeight="1" spans="1:47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</row>
    <row r="269" ht="14.25" customHeight="1" spans="1:47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</row>
    <row r="270" ht="14.25" customHeight="1" spans="1:47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</row>
    <row r="271" ht="14.25" customHeight="1" spans="1:47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</row>
    <row r="272" ht="14.25" customHeight="1" spans="1:47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</row>
    <row r="273" ht="14.25" customHeight="1" spans="1:47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</row>
    <row r="274" ht="14.25" customHeight="1" spans="1:47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</row>
    <row r="275" ht="14.25" customHeight="1" spans="1:47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</row>
    <row r="276" ht="14.25" customHeight="1" spans="1:47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</row>
    <row r="277" ht="14.25" customHeight="1" spans="1:4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</row>
    <row r="278" ht="14.25" customHeight="1" spans="1:47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</row>
    <row r="279" ht="14.25" customHeight="1" spans="1:47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</row>
    <row r="280" ht="14.25" customHeight="1" spans="1:47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</row>
    <row r="281" ht="14.25" customHeight="1" spans="1:47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</row>
    <row r="282" ht="14.25" customHeight="1" spans="1:47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</row>
    <row r="283" ht="14.25" customHeight="1" spans="1:47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</row>
    <row r="284" ht="14.25" customHeight="1" spans="1:47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</row>
    <row r="285" ht="14.25" customHeight="1" spans="1:47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</row>
    <row r="286" ht="14.25" customHeight="1" spans="1:47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</row>
    <row r="287" ht="14.25" customHeight="1" spans="1:4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</row>
    <row r="288" ht="14.25" customHeight="1" spans="1:47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</row>
    <row r="289" ht="14.25" customHeight="1" spans="1:47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</row>
    <row r="290" ht="14.25" customHeight="1" spans="1:47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</row>
    <row r="291" ht="14.25" customHeight="1" spans="1:47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</row>
    <row r="292" ht="14.25" customHeight="1" spans="1:47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</row>
    <row r="293" ht="14.25" customHeight="1" spans="1:47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</row>
    <row r="294" ht="14.25" customHeight="1" spans="1:47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</row>
    <row r="295" ht="14.25" customHeight="1" spans="1:47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</row>
    <row r="296" ht="14.25" customHeight="1" spans="1:47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</row>
    <row r="297" ht="14.25" customHeight="1" spans="1:4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</row>
    <row r="298" ht="14.25" customHeight="1" spans="1:47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</row>
    <row r="299" ht="14.25" customHeight="1" spans="1:47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</row>
    <row r="300" ht="14.25" customHeight="1" spans="1:47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</row>
    <row r="301" ht="14.25" customHeight="1" spans="1:47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</row>
    <row r="302" ht="14.25" customHeight="1" spans="1:47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</row>
    <row r="303" ht="14.25" customHeight="1" spans="1:47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</row>
    <row r="304" ht="14.25" customHeight="1" spans="1:47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</row>
    <row r="305" ht="14.25" customHeight="1" spans="1:47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</row>
    <row r="306" ht="14.25" customHeight="1" spans="1:47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</row>
    <row r="307" ht="14.25" customHeight="1" spans="1:4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</row>
    <row r="308" ht="14.25" customHeight="1" spans="1:47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</row>
    <row r="309" ht="14.25" customHeight="1" spans="1:47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</row>
    <row r="310" ht="14.25" customHeight="1" spans="1:47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</row>
    <row r="311" ht="14.25" customHeight="1" spans="1:47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</row>
    <row r="312" ht="14.25" customHeight="1" spans="1:47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</row>
    <row r="313" ht="14.25" customHeight="1" spans="1:47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</row>
    <row r="314" ht="14.25" customHeight="1" spans="1:47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</row>
    <row r="315" ht="14.25" customHeight="1" spans="1:47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</row>
    <row r="316" ht="14.25" customHeight="1" spans="1:47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</row>
    <row r="317" ht="14.25" customHeight="1" spans="1:4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</row>
    <row r="318" ht="14.25" customHeight="1" spans="1:47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</row>
    <row r="319" ht="14.25" customHeight="1" spans="1:47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</row>
    <row r="320" ht="14.25" customHeight="1" spans="1:47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</row>
    <row r="321" ht="14.25" customHeight="1" spans="1:47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</row>
    <row r="322" ht="14.25" customHeight="1" spans="1:47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</row>
    <row r="323" ht="14.25" customHeight="1" spans="1:47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</row>
    <row r="324" ht="14.25" customHeight="1" spans="1:47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</row>
    <row r="325" ht="14.25" customHeight="1" spans="1:47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</row>
    <row r="326" ht="14.25" customHeight="1" spans="1:47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</row>
    <row r="327" ht="14.25" customHeight="1" spans="1:4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</row>
    <row r="328" ht="14.25" customHeight="1" spans="1:47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</row>
    <row r="329" ht="14.25" customHeight="1" spans="1:47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</row>
    <row r="330" ht="14.25" customHeight="1" spans="1:47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</row>
    <row r="331" ht="14.25" customHeight="1" spans="1:47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</row>
    <row r="332" ht="14.25" customHeight="1" spans="1:47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</row>
    <row r="333" ht="14.25" customHeight="1" spans="1:47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</row>
    <row r="334" ht="14.25" customHeight="1" spans="1:47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</row>
    <row r="335" ht="14.25" customHeight="1" spans="1:47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</row>
    <row r="336" ht="14.25" customHeight="1" spans="1:47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</row>
    <row r="337" ht="14.25" customHeight="1" spans="1:4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</row>
    <row r="338" ht="14.25" customHeight="1" spans="1:47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</row>
    <row r="339" ht="14.25" customHeight="1" spans="1:47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</row>
    <row r="340" ht="14.25" customHeight="1" spans="1:47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</row>
    <row r="341" ht="14.25" customHeight="1" spans="1:47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</row>
    <row r="342" ht="14.25" customHeight="1" spans="1:47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</row>
    <row r="343" ht="14.25" customHeight="1" spans="1:47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</row>
    <row r="344" ht="14.25" customHeight="1" spans="1:47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</row>
    <row r="345" ht="14.25" customHeight="1" spans="1:47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</row>
    <row r="346" ht="14.25" customHeight="1" spans="1:47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</row>
    <row r="347" ht="14.25" customHeight="1" spans="1: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</row>
    <row r="348" ht="14.25" customHeight="1" spans="1:47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</row>
    <row r="349" ht="14.25" customHeight="1" spans="1:47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</row>
    <row r="350" ht="14.25" customHeight="1" spans="1:47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</row>
    <row r="351" ht="14.25" customHeight="1" spans="1:47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</row>
    <row r="352" ht="14.25" customHeight="1" spans="1:47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</row>
    <row r="353" ht="14.25" customHeight="1" spans="1:47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</row>
    <row r="354" ht="14.25" customHeight="1" spans="1:47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</row>
    <row r="355" ht="14.25" customHeight="1" spans="1:47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</row>
    <row r="356" ht="14.25" customHeight="1" spans="1:47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</row>
    <row r="357" ht="14.25" customHeight="1" spans="1:4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</row>
    <row r="358" ht="14.25" customHeight="1" spans="1:47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</row>
    <row r="359" ht="14.25" customHeight="1" spans="1:47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</row>
    <row r="360" ht="14.25" customHeight="1" spans="1:47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</row>
    <row r="361" ht="14.25" customHeight="1" spans="1:47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</row>
    <row r="362" ht="14.25" customHeight="1" spans="1:47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</row>
    <row r="363" ht="14.25" customHeight="1" spans="1:47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</row>
    <row r="364" ht="14.25" customHeight="1" spans="1:47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</row>
    <row r="365" ht="14.25" customHeight="1" spans="1:47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</row>
    <row r="366" ht="14.25" customHeight="1" spans="1:47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</row>
    <row r="367" ht="14.25" customHeight="1" spans="1:4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</row>
    <row r="368" ht="14.25" customHeight="1" spans="1:47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</row>
    <row r="369" ht="14.25" customHeight="1" spans="1:47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</row>
    <row r="370" ht="14.25" customHeight="1" spans="1:47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</row>
    <row r="371" ht="14.25" customHeight="1" spans="1:47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</row>
    <row r="372" ht="14.25" customHeight="1" spans="1:47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</row>
    <row r="373" ht="14.25" customHeight="1" spans="1:47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</row>
    <row r="374" ht="14.25" customHeight="1" spans="1:47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</row>
    <row r="375" ht="14.25" customHeight="1" spans="1:47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</row>
    <row r="376" ht="14.25" customHeight="1" spans="1:47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</row>
    <row r="377" ht="14.25" customHeight="1" spans="1:4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</row>
    <row r="378" ht="14.25" customHeight="1" spans="1:47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</row>
    <row r="379" ht="14.25" customHeight="1" spans="1:47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</row>
    <row r="380" ht="14.25" customHeight="1" spans="1:47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</row>
    <row r="381" ht="14.25" customHeight="1" spans="1:47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</row>
    <row r="382" ht="14.25" customHeight="1" spans="1:47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</row>
    <row r="383" ht="14.25" customHeight="1" spans="1:47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</row>
    <row r="384" ht="14.25" customHeight="1" spans="1:47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</row>
    <row r="385" ht="14.25" customHeight="1" spans="1:47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</row>
    <row r="386" ht="14.25" customHeight="1" spans="1:47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</row>
    <row r="387" ht="14.25" customHeight="1" spans="1:4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</row>
    <row r="388" ht="14.25" customHeight="1" spans="1:47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</row>
    <row r="389" ht="14.25" customHeight="1" spans="1:47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</row>
    <row r="390" ht="14.25" customHeight="1" spans="1:47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</row>
    <row r="391" ht="14.25" customHeight="1" spans="1:47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</row>
    <row r="392" ht="14.25" customHeight="1" spans="1:47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</row>
    <row r="393" ht="14.25" customHeight="1" spans="1:47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</row>
    <row r="394" ht="14.25" customHeight="1" spans="1:47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</row>
    <row r="395" ht="14.25" customHeight="1" spans="1:47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</row>
    <row r="396" ht="14.25" customHeight="1" spans="1:47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</row>
    <row r="397" ht="14.25" customHeight="1" spans="1:4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</row>
    <row r="398" ht="14.25" customHeight="1" spans="1:47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</row>
    <row r="399" ht="14.25" customHeight="1" spans="1:47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</row>
    <row r="400" ht="14.25" customHeight="1" spans="1:47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</row>
    <row r="401" ht="14.25" customHeight="1" spans="1:47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</row>
    <row r="402" ht="14.25" customHeight="1" spans="1:47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</row>
    <row r="403" ht="14.25" customHeight="1" spans="1:47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</row>
    <row r="404" ht="14.25" customHeight="1" spans="1:47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</row>
    <row r="405" ht="14.25" customHeight="1" spans="1:47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</row>
    <row r="406" ht="14.25" customHeight="1" spans="1:47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</row>
    <row r="407" ht="14.25" customHeight="1" spans="1:4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</row>
    <row r="408" ht="14.25" customHeight="1" spans="1:47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</row>
    <row r="409" ht="14.25" customHeight="1" spans="1:47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</row>
    <row r="410" ht="14.25" customHeight="1" spans="1:47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</row>
    <row r="411" ht="14.25" customHeight="1" spans="1:47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</row>
    <row r="412" ht="14.25" customHeight="1" spans="1:47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</row>
    <row r="413" ht="14.25" customHeight="1" spans="1:47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</row>
    <row r="414" ht="14.25" customHeight="1" spans="1:47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</row>
    <row r="415" ht="14.25" customHeight="1" spans="1:47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</row>
    <row r="416" ht="14.25" customHeight="1" spans="1:47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</row>
    <row r="417" ht="14.25" customHeight="1" spans="1:4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</row>
    <row r="418" ht="14.25" customHeight="1" spans="1:47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</row>
    <row r="419" ht="14.25" customHeight="1" spans="1:47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</row>
    <row r="420" ht="14.25" customHeight="1" spans="1:47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</row>
    <row r="421" ht="14.25" customHeight="1" spans="1:47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</row>
    <row r="422" ht="14.25" customHeight="1" spans="1:47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</row>
    <row r="423" ht="14.25" customHeight="1" spans="1:47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</row>
    <row r="424" ht="14.25" customHeight="1" spans="1:47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</row>
    <row r="425" ht="14.25" customHeight="1" spans="1:47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</row>
    <row r="426" ht="14.25" customHeight="1" spans="1:47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</row>
    <row r="427" ht="14.25" customHeight="1" spans="1:4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</row>
    <row r="428" ht="14.25" customHeight="1" spans="1:47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</row>
    <row r="429" ht="14.25" customHeight="1" spans="1:47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</row>
    <row r="430" ht="14.25" customHeight="1" spans="1:47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</row>
    <row r="431" ht="14.25" customHeight="1" spans="1:47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</row>
    <row r="432" ht="14.25" customHeight="1" spans="1:47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</row>
    <row r="433" ht="14.25" customHeight="1" spans="1:47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</row>
    <row r="434" ht="14.25" customHeight="1" spans="1:47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</row>
    <row r="435" ht="14.25" customHeight="1" spans="1:47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</row>
    <row r="436" ht="14.25" customHeight="1" spans="1:47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</row>
    <row r="437" ht="14.25" customHeight="1" spans="1:4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</row>
    <row r="438" ht="14.25" customHeight="1" spans="1:47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</row>
    <row r="439" ht="14.25" customHeight="1" spans="1:47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</row>
    <row r="440" ht="14.25" customHeight="1" spans="1:47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</row>
    <row r="441" ht="14.25" customHeight="1" spans="1:47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</row>
    <row r="442" ht="14.25" customHeight="1" spans="1:47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</row>
    <row r="443" ht="14.25" customHeight="1" spans="1:47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</row>
    <row r="444" ht="14.25" customHeight="1" spans="1:47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</row>
    <row r="445" ht="14.25" customHeight="1" spans="1:47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</row>
    <row r="446" ht="14.25" customHeight="1" spans="1:47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</row>
    <row r="447" ht="14.25" customHeight="1" spans="1: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</row>
    <row r="448" ht="14.25" customHeight="1" spans="1:47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</row>
    <row r="449" ht="14.25" customHeight="1" spans="1:47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</row>
    <row r="450" ht="14.25" customHeight="1" spans="1:47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</row>
    <row r="451" ht="14.25" customHeight="1" spans="1:47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</row>
    <row r="452" ht="14.25" customHeight="1" spans="1:47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</row>
    <row r="453" ht="14.25" customHeight="1" spans="1:47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</row>
    <row r="454" ht="14.25" customHeight="1" spans="1:47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</row>
    <row r="455" ht="14.25" customHeight="1" spans="1:47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</row>
    <row r="456" ht="14.25" customHeight="1" spans="1:47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</row>
    <row r="457" ht="14.25" customHeight="1" spans="1:4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</row>
    <row r="458" ht="14.25" customHeight="1" spans="1:47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</row>
    <row r="459" ht="14.25" customHeight="1" spans="1:47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</row>
    <row r="460" ht="14.25" customHeight="1" spans="1:47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</row>
    <row r="461" ht="14.25" customHeight="1" spans="1:47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</row>
    <row r="462" ht="14.25" customHeight="1" spans="1:47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</row>
    <row r="463" ht="14.25" customHeight="1" spans="1:47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</row>
    <row r="464" ht="14.25" customHeight="1" spans="1:47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</row>
    <row r="465" ht="14.25" customHeight="1" spans="1:47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</row>
    <row r="466" ht="14.25" customHeight="1" spans="1:47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</row>
    <row r="467" ht="14.25" customHeight="1" spans="1:4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</row>
    <row r="468" ht="14.25" customHeight="1" spans="1:47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</row>
    <row r="469" ht="14.25" customHeight="1" spans="1:47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</row>
    <row r="470" ht="14.25" customHeight="1" spans="1:47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</row>
    <row r="471" ht="14.25" customHeight="1" spans="1:47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</row>
    <row r="472" ht="14.25" customHeight="1" spans="1:47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</row>
    <row r="473" ht="14.25" customHeight="1" spans="1:47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</row>
    <row r="474" ht="14.25" customHeight="1" spans="1:47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</row>
    <row r="475" ht="14.25" customHeight="1" spans="1:47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</row>
    <row r="476" ht="14.25" customHeight="1" spans="1:47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</row>
    <row r="477" ht="14.25" customHeight="1" spans="1:4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</row>
    <row r="478" ht="14.25" customHeight="1" spans="1:47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</row>
    <row r="479" ht="14.25" customHeight="1" spans="1:47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</row>
    <row r="480" ht="14.25" customHeight="1" spans="1:47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</row>
    <row r="481" ht="14.25" customHeight="1" spans="1:47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</row>
    <row r="482" ht="14.25" customHeight="1" spans="1:47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</row>
    <row r="483" ht="14.25" customHeight="1" spans="1:47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</row>
    <row r="484" ht="14.25" customHeight="1" spans="1:47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</row>
    <row r="485" ht="14.25" customHeight="1" spans="1:47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</row>
    <row r="486" ht="14.25" customHeight="1" spans="1:47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</row>
    <row r="487" ht="14.25" customHeight="1" spans="1:4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</row>
    <row r="488" ht="14.25" customHeight="1" spans="1:47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</row>
    <row r="489" ht="14.25" customHeight="1" spans="1:47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</row>
    <row r="490" ht="14.25" customHeight="1" spans="1:47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</row>
    <row r="491" ht="14.25" customHeight="1" spans="1:47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</row>
    <row r="492" ht="14.25" customHeight="1" spans="1:47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</row>
    <row r="493" ht="14.25" customHeight="1" spans="1:47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</row>
    <row r="494" ht="14.25" customHeight="1" spans="1:47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</row>
    <row r="495" ht="14.25" customHeight="1" spans="1:47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</row>
    <row r="496" ht="14.25" customHeight="1" spans="1:47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</row>
    <row r="497" ht="14.25" customHeight="1" spans="1:4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</row>
    <row r="498" ht="14.25" customHeight="1" spans="1:47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</row>
    <row r="499" ht="14.25" customHeight="1" spans="1:47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</row>
    <row r="500" ht="14.25" customHeight="1" spans="1:47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</row>
    <row r="501" ht="14.25" customHeight="1" spans="1:47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</row>
    <row r="502" ht="14.25" customHeight="1" spans="1:47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</row>
    <row r="503" ht="14.25" customHeight="1" spans="1:47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</row>
    <row r="504" ht="14.25" customHeight="1" spans="1:47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</row>
    <row r="505" ht="14.25" customHeight="1" spans="1:47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</row>
    <row r="506" ht="14.25" customHeight="1" spans="1:47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</row>
    <row r="507" ht="14.25" customHeight="1" spans="1:4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</row>
    <row r="508" ht="14.25" customHeight="1" spans="1:47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</row>
    <row r="509" ht="14.25" customHeight="1" spans="1:47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</row>
    <row r="510" ht="14.25" customHeight="1" spans="1:47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</row>
    <row r="511" ht="14.25" customHeight="1" spans="1:47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</row>
    <row r="512" ht="14.25" customHeight="1" spans="1:47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</row>
    <row r="513" ht="14.25" customHeight="1" spans="1:47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</row>
    <row r="514" ht="14.25" customHeight="1" spans="1:47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</row>
    <row r="515" ht="14.25" customHeight="1" spans="1:47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</row>
    <row r="516" ht="14.25" customHeight="1" spans="1:47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</row>
    <row r="517" ht="14.25" customHeight="1" spans="1:4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</row>
    <row r="518" ht="14.25" customHeight="1" spans="1:47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</row>
    <row r="519" ht="14.25" customHeight="1" spans="1:47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</row>
    <row r="520" ht="14.25" customHeight="1" spans="1:47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</row>
    <row r="521" ht="14.25" customHeight="1" spans="1:47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</row>
    <row r="522" ht="14.25" customHeight="1" spans="1:47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</row>
    <row r="523" ht="14.25" customHeight="1" spans="1:47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</row>
    <row r="524" ht="14.25" customHeight="1" spans="1:47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</row>
    <row r="525" ht="14.25" customHeight="1" spans="1:47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</row>
    <row r="526" ht="14.25" customHeight="1" spans="1:47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</row>
    <row r="527" ht="14.25" customHeight="1" spans="1:4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</row>
    <row r="528" ht="14.25" customHeight="1" spans="1:47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</row>
    <row r="529" ht="14.25" customHeight="1" spans="1:47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</row>
    <row r="530" ht="14.25" customHeight="1" spans="1:47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</row>
    <row r="531" ht="14.25" customHeight="1" spans="1:47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</row>
    <row r="532" ht="14.25" customHeight="1" spans="1:47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</row>
    <row r="533" ht="14.25" customHeight="1" spans="1:47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</row>
    <row r="534" ht="14.25" customHeight="1" spans="1:47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</row>
    <row r="535" ht="14.25" customHeight="1" spans="1:47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</row>
    <row r="536" ht="14.25" customHeight="1" spans="1:47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</row>
    <row r="537" ht="14.25" customHeight="1" spans="1:4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</row>
    <row r="538" ht="14.25" customHeight="1" spans="1:47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</row>
    <row r="539" ht="14.25" customHeight="1" spans="1:47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</row>
    <row r="540" ht="14.25" customHeight="1" spans="1:47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</row>
    <row r="541" ht="14.25" customHeight="1" spans="1:47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</row>
    <row r="542" ht="14.25" customHeight="1" spans="1:47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</row>
    <row r="543" ht="14.25" customHeight="1" spans="1:47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</row>
    <row r="544" ht="14.25" customHeight="1" spans="1:47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</row>
    <row r="545" ht="14.25" customHeight="1" spans="1:47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</row>
    <row r="546" ht="14.25" customHeight="1" spans="1:47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</row>
    <row r="547" ht="14.25" customHeight="1" spans="1: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</row>
    <row r="548" ht="14.25" customHeight="1" spans="1:47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</row>
    <row r="549" ht="14.25" customHeight="1" spans="1:47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</row>
    <row r="550" ht="14.25" customHeight="1" spans="1:47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</row>
    <row r="551" ht="14.25" customHeight="1" spans="1:47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</row>
    <row r="552" ht="14.25" customHeight="1" spans="1:47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</row>
    <row r="553" ht="14.25" customHeight="1" spans="1:47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</row>
    <row r="554" ht="14.25" customHeight="1" spans="1:47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</row>
    <row r="555" ht="14.25" customHeight="1" spans="1:47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</row>
    <row r="556" ht="14.25" customHeight="1" spans="1:47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</row>
    <row r="557" ht="14.25" customHeight="1" spans="1:4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</row>
    <row r="558" ht="14.25" customHeight="1" spans="1:47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</row>
    <row r="559" ht="14.25" customHeight="1" spans="1:47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</row>
    <row r="560" ht="14.25" customHeight="1" spans="1:47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</row>
    <row r="561" ht="14.25" customHeight="1" spans="1:47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</row>
    <row r="562" ht="14.25" customHeight="1" spans="1:47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</row>
    <row r="563" ht="14.25" customHeight="1" spans="1:47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</row>
    <row r="564" ht="14.25" customHeight="1" spans="1:47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</row>
    <row r="565" ht="14.25" customHeight="1" spans="1:47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</row>
    <row r="566" ht="14.25" customHeight="1" spans="1:47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</row>
    <row r="567" ht="14.25" customHeight="1" spans="1:4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</row>
    <row r="568" ht="14.25" customHeight="1" spans="1:47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</row>
    <row r="569" ht="14.25" customHeight="1" spans="1:47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</row>
    <row r="570" ht="14.25" customHeight="1" spans="1:47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</row>
    <row r="571" ht="14.25" customHeight="1" spans="1:47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</row>
    <row r="572" ht="14.25" customHeight="1" spans="1:47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</row>
    <row r="573" ht="14.25" customHeight="1" spans="1:47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</row>
    <row r="574" ht="14.25" customHeight="1" spans="1:47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</row>
    <row r="575" ht="14.25" customHeight="1" spans="1:47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</row>
    <row r="576" ht="14.25" customHeight="1" spans="1:47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</row>
    <row r="577" ht="14.25" customHeight="1" spans="1:4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</row>
    <row r="578" ht="14.25" customHeight="1" spans="1:47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</row>
    <row r="579" ht="14.25" customHeight="1" spans="1:47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</row>
    <row r="580" ht="14.25" customHeight="1" spans="1:47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</row>
    <row r="581" ht="14.25" customHeight="1" spans="1:47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</row>
    <row r="582" ht="14.25" customHeight="1" spans="1:47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</row>
    <row r="583" ht="14.25" customHeight="1" spans="1:47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</row>
    <row r="584" ht="14.25" customHeight="1" spans="1:47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</row>
    <row r="585" ht="14.25" customHeight="1" spans="1:47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</row>
    <row r="586" ht="14.25" customHeight="1" spans="1:47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</row>
    <row r="587" ht="14.25" customHeight="1" spans="1:4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</row>
    <row r="588" ht="14.25" customHeight="1" spans="1:47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</row>
    <row r="589" ht="14.25" customHeight="1" spans="1:47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</row>
    <row r="590" ht="14.25" customHeight="1" spans="1:47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</row>
    <row r="591" ht="14.25" customHeight="1" spans="1:47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</row>
    <row r="592" ht="14.25" customHeight="1" spans="1:47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</row>
    <row r="593" ht="14.25" customHeight="1" spans="1:47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</row>
    <row r="594" ht="14.25" customHeight="1" spans="1:47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</row>
    <row r="595" ht="14.25" customHeight="1" spans="1:47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</row>
    <row r="596" ht="14.25" customHeight="1" spans="1:47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</row>
    <row r="597" ht="14.25" customHeight="1" spans="1:4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</row>
    <row r="598" ht="14.25" customHeight="1" spans="1:47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</row>
    <row r="599" ht="14.25" customHeight="1" spans="1:47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</row>
    <row r="600" ht="14.25" customHeight="1" spans="1:47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</row>
    <row r="601" ht="14.25" customHeight="1" spans="1:47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</row>
    <row r="602" ht="14.25" customHeight="1" spans="1:47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</row>
    <row r="603" ht="14.25" customHeight="1" spans="1:47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</row>
    <row r="604" ht="14.25" customHeight="1" spans="1:47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</row>
    <row r="605" ht="14.25" customHeight="1" spans="1:47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</row>
    <row r="606" ht="14.25" customHeight="1" spans="1:47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</row>
    <row r="607" ht="14.25" customHeight="1" spans="1:4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</row>
    <row r="608" ht="14.25" customHeight="1" spans="1:47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</row>
    <row r="609" ht="14.25" customHeight="1" spans="1:47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</row>
    <row r="610" ht="14.25" customHeight="1" spans="1:47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</row>
    <row r="611" ht="14.25" customHeight="1" spans="1:47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</row>
    <row r="612" ht="14.25" customHeight="1" spans="1:47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</row>
    <row r="613" ht="14.25" customHeight="1" spans="1:47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</row>
    <row r="614" ht="14.25" customHeight="1" spans="1:47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</row>
    <row r="615" ht="14.25" customHeight="1" spans="1:47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</row>
    <row r="616" ht="14.25" customHeight="1" spans="1:47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</row>
    <row r="617" ht="14.25" customHeight="1" spans="1:4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</row>
    <row r="618" ht="14.25" customHeight="1" spans="1:47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</row>
    <row r="619" ht="14.25" customHeight="1" spans="1:47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</row>
    <row r="620" ht="14.25" customHeight="1" spans="1:47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</row>
    <row r="621" ht="14.25" customHeight="1" spans="1:47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</row>
    <row r="622" ht="14.25" customHeight="1" spans="1:47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</row>
    <row r="623" ht="14.25" customHeight="1" spans="1:47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</row>
    <row r="624" ht="14.25" customHeight="1" spans="1:47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</row>
    <row r="625" ht="14.25" customHeight="1" spans="1:47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</row>
    <row r="626" ht="14.25" customHeight="1" spans="1:47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</row>
    <row r="627" ht="14.25" customHeight="1" spans="1:4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</row>
    <row r="628" ht="14.25" customHeight="1" spans="1:47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</row>
    <row r="629" ht="14.25" customHeight="1" spans="1:47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</row>
    <row r="630" ht="14.25" customHeight="1" spans="1:47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</row>
    <row r="631" ht="14.25" customHeight="1" spans="1:47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</row>
    <row r="632" ht="14.25" customHeight="1" spans="1:47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</row>
    <row r="633" ht="14.25" customHeight="1" spans="1:47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</row>
    <row r="634" ht="14.25" customHeight="1" spans="1:47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</row>
    <row r="635" ht="14.25" customHeight="1" spans="1:47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</row>
    <row r="636" ht="14.25" customHeight="1" spans="1:47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</row>
    <row r="637" ht="14.25" customHeight="1" spans="1:4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</row>
    <row r="638" ht="14.25" customHeight="1" spans="1:47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</row>
    <row r="639" ht="14.25" customHeight="1" spans="1:47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</row>
    <row r="640" ht="14.25" customHeight="1" spans="1:47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</row>
    <row r="641" ht="14.25" customHeight="1" spans="1:47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</row>
    <row r="642" ht="14.25" customHeight="1" spans="1:47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</row>
    <row r="643" ht="14.25" customHeight="1" spans="1:47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</row>
    <row r="644" ht="14.25" customHeight="1" spans="1:47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</row>
    <row r="645" ht="14.25" customHeight="1" spans="1:47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</row>
    <row r="646" ht="14.25" customHeight="1" spans="1:47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</row>
    <row r="647" ht="14.25" customHeight="1" spans="1: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</row>
    <row r="648" ht="14.25" customHeight="1" spans="1:47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</row>
    <row r="649" ht="14.25" customHeight="1" spans="1:47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</row>
    <row r="650" ht="14.25" customHeight="1" spans="1:47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</row>
    <row r="651" ht="14.25" customHeight="1" spans="1:47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</row>
    <row r="652" ht="14.25" customHeight="1" spans="1:47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</row>
    <row r="653" ht="14.25" customHeight="1" spans="1:47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</row>
    <row r="654" ht="14.25" customHeight="1" spans="1:47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</row>
    <row r="655" ht="14.25" customHeight="1" spans="1:47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</row>
    <row r="656" ht="14.25" customHeight="1" spans="1:47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</row>
    <row r="657" ht="14.25" customHeight="1" spans="1:4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</row>
    <row r="658" ht="14.25" customHeight="1" spans="1:47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</row>
    <row r="659" ht="14.25" customHeight="1" spans="1:47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</row>
    <row r="660" ht="14.25" customHeight="1" spans="1:47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</row>
    <row r="661" ht="14.25" customHeight="1" spans="1:47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</row>
    <row r="662" ht="14.25" customHeight="1" spans="1:47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</row>
    <row r="663" ht="14.25" customHeight="1" spans="1:47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</row>
    <row r="664" ht="14.25" customHeight="1" spans="1:47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</row>
    <row r="665" ht="14.25" customHeight="1" spans="1:47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</row>
    <row r="666" ht="14.25" customHeight="1" spans="1:47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</row>
    <row r="667" ht="14.25" customHeight="1" spans="1:4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</row>
    <row r="668" ht="14.25" customHeight="1" spans="1:47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</row>
    <row r="669" ht="14.25" customHeight="1" spans="1:47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</row>
    <row r="670" ht="14.25" customHeight="1" spans="1:47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</row>
    <row r="671" ht="14.25" customHeight="1" spans="1:47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</row>
    <row r="672" ht="14.25" customHeight="1" spans="1:47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</row>
    <row r="673" ht="14.25" customHeight="1" spans="1:47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</row>
    <row r="674" ht="14.25" customHeight="1" spans="1:47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</row>
    <row r="675" ht="14.25" customHeight="1" spans="1:47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</row>
    <row r="676" ht="14.25" customHeight="1" spans="1:47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</row>
    <row r="677" ht="14.25" customHeight="1" spans="1:4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</row>
    <row r="678" ht="14.25" customHeight="1" spans="1:47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</row>
    <row r="679" ht="14.25" customHeight="1" spans="1:47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</row>
    <row r="680" ht="14.25" customHeight="1" spans="1:47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</row>
    <row r="681" ht="14.25" customHeight="1" spans="1:47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</row>
    <row r="682" ht="14.25" customHeight="1" spans="1:47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</row>
    <row r="683" ht="14.25" customHeight="1" spans="1:47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</row>
    <row r="684" ht="14.25" customHeight="1" spans="1:47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</row>
    <row r="685" ht="14.25" customHeight="1" spans="1:47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</row>
    <row r="686" ht="14.25" customHeight="1" spans="1:47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</row>
    <row r="687" ht="14.25" customHeight="1" spans="1:4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</row>
    <row r="688" ht="14.25" customHeight="1" spans="1:47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</row>
    <row r="689" ht="14.25" customHeight="1" spans="1:47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</row>
    <row r="690" ht="14.25" customHeight="1" spans="1:47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</row>
    <row r="691" ht="14.25" customHeight="1" spans="1:47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</row>
    <row r="692" ht="14.25" customHeight="1" spans="1:47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</row>
    <row r="693" ht="14.25" customHeight="1" spans="1:47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</row>
    <row r="694" ht="14.25" customHeight="1" spans="1:47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</row>
    <row r="695" ht="14.25" customHeight="1" spans="1:47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</row>
    <row r="696" ht="14.25" customHeight="1" spans="1:47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</row>
    <row r="697" ht="14.25" customHeight="1" spans="1:4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</row>
    <row r="698" ht="14.25" customHeight="1" spans="1:47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</row>
    <row r="699" ht="14.25" customHeight="1" spans="1:47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</row>
    <row r="700" ht="14.25" customHeight="1" spans="1:47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</row>
    <row r="701" ht="14.25" customHeight="1" spans="1:47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</row>
    <row r="702" ht="14.25" customHeight="1" spans="1:47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</row>
    <row r="703" ht="14.25" customHeight="1" spans="1:47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</row>
    <row r="704" ht="14.25" customHeight="1" spans="1:47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</row>
    <row r="705" ht="14.25" customHeight="1" spans="1:47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</row>
    <row r="706" ht="14.25" customHeight="1" spans="1:47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</row>
    <row r="707" ht="14.25" customHeight="1" spans="1:4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</row>
    <row r="708" ht="14.25" customHeight="1" spans="1:47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</row>
    <row r="709" ht="14.25" customHeight="1" spans="1:47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</row>
    <row r="710" ht="14.25" customHeight="1" spans="1:47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</row>
    <row r="711" ht="14.25" customHeight="1" spans="1:47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</row>
    <row r="712" ht="14.25" customHeight="1" spans="1:47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</row>
    <row r="713" ht="14.25" customHeight="1" spans="1:47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</row>
    <row r="714" ht="14.25" customHeight="1" spans="1:47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</row>
    <row r="715" ht="14.25" customHeight="1" spans="1:47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</row>
    <row r="716" ht="14.25" customHeight="1" spans="1:47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</row>
    <row r="717" ht="14.25" customHeight="1" spans="1:4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</row>
    <row r="718" ht="14.25" customHeight="1" spans="1:47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</row>
    <row r="719" ht="14.25" customHeight="1" spans="1:47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</row>
    <row r="720" ht="14.25" customHeight="1" spans="1:47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</row>
    <row r="721" ht="14.25" customHeight="1" spans="1:47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</row>
    <row r="722" ht="14.25" customHeight="1" spans="1:47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</row>
    <row r="723" ht="14.25" customHeight="1" spans="1:47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</row>
    <row r="724" ht="14.25" customHeight="1" spans="1:47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</row>
    <row r="725" ht="14.25" customHeight="1" spans="1:47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</row>
    <row r="726" ht="14.25" customHeight="1" spans="1:47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</row>
    <row r="727" ht="14.25" customHeight="1" spans="1:4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</row>
    <row r="728" ht="14.25" customHeight="1" spans="1:47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</row>
    <row r="729" ht="14.25" customHeight="1" spans="1:47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</row>
    <row r="730" ht="14.25" customHeight="1" spans="1:47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</row>
    <row r="731" ht="14.25" customHeight="1" spans="1:47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</row>
    <row r="732" ht="14.25" customHeight="1" spans="1:47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</row>
    <row r="733" ht="14.25" customHeight="1" spans="1:47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</row>
    <row r="734" ht="14.25" customHeight="1" spans="1:47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</row>
    <row r="735" ht="14.25" customHeight="1" spans="1:47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</row>
    <row r="736" ht="14.25" customHeight="1" spans="1:47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</row>
    <row r="737" ht="14.25" customHeight="1" spans="1:4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</row>
    <row r="738" ht="14.25" customHeight="1" spans="1:47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</row>
    <row r="739" ht="14.25" customHeight="1" spans="1:47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</row>
    <row r="740" ht="14.25" customHeight="1" spans="1:47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</row>
    <row r="741" ht="14.25" customHeight="1" spans="1:47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</row>
    <row r="742" ht="14.25" customHeight="1" spans="1:47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</row>
    <row r="743" ht="14.25" customHeight="1" spans="1:47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</row>
    <row r="744" ht="14.25" customHeight="1" spans="1:47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</row>
    <row r="745" ht="14.25" customHeight="1" spans="1:47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</row>
    <row r="746" ht="14.25" customHeight="1" spans="1:47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</row>
    <row r="747" ht="14.25" customHeight="1" spans="1: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</row>
    <row r="748" ht="14.25" customHeight="1" spans="1:47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</row>
    <row r="749" ht="14.25" customHeight="1" spans="1:47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</row>
    <row r="750" ht="14.25" customHeight="1" spans="1:47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</row>
    <row r="751" ht="14.25" customHeight="1" spans="1:47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</row>
    <row r="752" ht="14.25" customHeight="1" spans="1:47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</row>
    <row r="753" ht="14.25" customHeight="1" spans="1:47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</row>
    <row r="754" ht="14.25" customHeight="1" spans="1:47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</row>
    <row r="755" ht="14.25" customHeight="1" spans="1:47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</row>
    <row r="756" ht="14.25" customHeight="1" spans="1:47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</row>
    <row r="757" ht="14.25" customHeight="1" spans="1:4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</row>
    <row r="758" ht="14.25" customHeight="1" spans="1:47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</row>
    <row r="759" ht="14.25" customHeight="1" spans="1:47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</row>
    <row r="760" ht="14.25" customHeight="1" spans="1:47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</row>
    <row r="761" ht="14.25" customHeight="1" spans="1:47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</row>
    <row r="762" ht="14.25" customHeight="1" spans="1:47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</row>
    <row r="763" ht="14.25" customHeight="1" spans="1:47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</row>
    <row r="764" ht="14.25" customHeight="1" spans="1:47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</row>
    <row r="765" ht="14.25" customHeight="1" spans="1:47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</row>
    <row r="766" ht="14.25" customHeight="1" spans="1:47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</row>
    <row r="767" ht="14.25" customHeight="1" spans="1:4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</row>
    <row r="768" ht="14.25" customHeight="1" spans="1:47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</row>
    <row r="769" ht="14.25" customHeight="1" spans="1:47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</row>
    <row r="770" ht="14.25" customHeight="1" spans="1:47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</row>
    <row r="771" ht="14.25" customHeight="1" spans="1:47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</row>
    <row r="772" ht="14.25" customHeight="1" spans="1:47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</row>
    <row r="773" ht="14.25" customHeight="1" spans="1:47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</row>
    <row r="774" ht="14.25" customHeight="1" spans="1:47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</row>
    <row r="775" ht="14.25" customHeight="1" spans="1:47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</row>
    <row r="776" ht="14.25" customHeight="1" spans="1:47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</row>
    <row r="777" ht="14.25" customHeight="1" spans="1:4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</row>
    <row r="778" ht="14.25" customHeight="1" spans="1:47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</row>
    <row r="779" ht="14.25" customHeight="1" spans="1:47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</row>
    <row r="780" ht="14.25" customHeight="1" spans="1:47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</row>
    <row r="781" ht="14.25" customHeight="1" spans="1:47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</row>
    <row r="782" ht="14.25" customHeight="1" spans="1:47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</row>
    <row r="783" ht="14.25" customHeight="1" spans="1:47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</row>
    <row r="784" ht="14.25" customHeight="1" spans="1:47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</row>
    <row r="785" ht="14.25" customHeight="1" spans="1:47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</row>
    <row r="786" ht="14.25" customHeight="1" spans="1:47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</row>
    <row r="787" ht="14.25" customHeight="1" spans="1:4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</row>
    <row r="788" ht="14.25" customHeight="1" spans="1:47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</row>
    <row r="789" ht="14.25" customHeight="1" spans="1:47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</row>
    <row r="790" ht="14.25" customHeight="1" spans="1:47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</row>
    <row r="791" ht="14.25" customHeight="1" spans="1:47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</row>
    <row r="792" ht="14.25" customHeight="1" spans="1:47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</row>
    <row r="793" ht="14.25" customHeight="1" spans="1:47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</row>
    <row r="794" ht="14.25" customHeight="1" spans="1:47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</row>
    <row r="795" ht="14.25" customHeight="1" spans="1:47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</row>
    <row r="796" ht="14.25" customHeight="1" spans="1:47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</row>
    <row r="797" ht="14.25" customHeight="1" spans="1:4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</row>
    <row r="798" ht="14.25" customHeight="1" spans="1:47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</row>
    <row r="799" ht="14.25" customHeight="1" spans="1:47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</row>
    <row r="800" ht="14.25" customHeight="1" spans="1:47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</row>
    <row r="801" ht="14.25" customHeight="1" spans="1:47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</row>
    <row r="802" ht="14.25" customHeight="1" spans="1:47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</row>
    <row r="803" ht="14.25" customHeight="1" spans="1:47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</row>
    <row r="804" ht="14.25" customHeight="1" spans="1:47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</row>
    <row r="805" ht="14.25" customHeight="1" spans="1:47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</row>
    <row r="806" ht="14.25" customHeight="1" spans="1:47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</row>
    <row r="807" ht="14.25" customHeight="1" spans="1:4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</row>
    <row r="808" ht="14.25" customHeight="1" spans="1:47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</row>
    <row r="809" ht="14.25" customHeight="1" spans="1:47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</row>
    <row r="810" ht="14.25" customHeight="1" spans="1:47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</row>
    <row r="811" ht="14.25" customHeight="1" spans="1:47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</row>
    <row r="812" ht="14.25" customHeight="1" spans="1:47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</row>
    <row r="813" ht="14.25" customHeight="1" spans="1:47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</row>
    <row r="814" ht="14.25" customHeight="1" spans="1:47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</row>
    <row r="815" ht="14.25" customHeight="1" spans="1:47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</row>
    <row r="816" ht="14.25" customHeight="1" spans="1:47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</row>
    <row r="817" ht="14.25" customHeight="1" spans="1:4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</row>
    <row r="818" ht="14.25" customHeight="1" spans="1:47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</row>
    <row r="819" ht="14.25" customHeight="1" spans="1:47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</row>
    <row r="820" ht="14.25" customHeight="1" spans="1:47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</row>
    <row r="821" ht="14.25" customHeight="1" spans="1:47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</row>
    <row r="822" ht="14.25" customHeight="1" spans="1:47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</row>
    <row r="823" ht="14.25" customHeight="1" spans="1:47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</row>
    <row r="824" ht="14.25" customHeight="1" spans="1:47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</row>
    <row r="825" ht="14.25" customHeight="1" spans="1:47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</row>
    <row r="826" ht="14.25" customHeight="1" spans="1:47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</row>
    <row r="827" ht="14.25" customHeight="1" spans="1:4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</row>
    <row r="828" ht="14.25" customHeight="1" spans="1:47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</row>
    <row r="829" ht="14.25" customHeight="1" spans="1:47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</row>
    <row r="830" ht="14.25" customHeight="1" spans="1:47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</row>
    <row r="831" ht="14.25" customHeight="1" spans="1:47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</row>
    <row r="832" ht="14.25" customHeight="1" spans="1:47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</row>
    <row r="833" ht="14.25" customHeight="1" spans="1:47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</row>
    <row r="834" ht="14.25" customHeight="1" spans="1:47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</row>
    <row r="835" ht="14.25" customHeight="1" spans="1:47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</row>
    <row r="836" ht="14.25" customHeight="1" spans="1:47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</row>
    <row r="837" ht="14.25" customHeight="1" spans="1:4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</row>
    <row r="838" ht="14.25" customHeight="1" spans="1:47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</row>
    <row r="839" ht="14.25" customHeight="1" spans="1:47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</row>
    <row r="840" ht="14.25" customHeight="1" spans="1:47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</row>
    <row r="841" ht="14.25" customHeight="1" spans="1:47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</row>
    <row r="842" ht="14.25" customHeight="1" spans="1:47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</row>
    <row r="843" ht="14.25" customHeight="1" spans="1:47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</row>
    <row r="844" ht="14.25" customHeight="1" spans="1:47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</row>
    <row r="845" ht="14.25" customHeight="1" spans="1:47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</row>
    <row r="846" ht="14.25" customHeight="1" spans="1:47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</row>
    <row r="847" ht="14.25" customHeight="1" spans="1: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</row>
    <row r="848" ht="14.25" customHeight="1" spans="1:47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</row>
    <row r="849" ht="14.25" customHeight="1" spans="1:47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</row>
    <row r="850" ht="14.25" customHeight="1" spans="1:47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</row>
    <row r="851" ht="14.25" customHeight="1" spans="1:47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</row>
    <row r="852" ht="14.25" customHeight="1" spans="1:47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</row>
    <row r="853" ht="14.25" customHeight="1" spans="1:47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</row>
    <row r="854" ht="14.25" customHeight="1" spans="1:47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</row>
    <row r="855" ht="14.25" customHeight="1" spans="1:47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</row>
    <row r="856" ht="14.25" customHeight="1" spans="1:47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</row>
    <row r="857" ht="14.25" customHeight="1" spans="1:4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</row>
    <row r="858" ht="14.25" customHeight="1" spans="1:47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</row>
    <row r="859" ht="14.25" customHeight="1" spans="1:47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</row>
    <row r="860" ht="14.25" customHeight="1" spans="1:47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</row>
    <row r="861" ht="14.25" customHeight="1" spans="1:47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</row>
    <row r="862" ht="14.25" customHeight="1" spans="1:47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</row>
    <row r="863" ht="14.25" customHeight="1" spans="1:47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</row>
    <row r="864" ht="14.25" customHeight="1" spans="1:47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</row>
    <row r="865" ht="14.25" customHeight="1" spans="1:47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</row>
    <row r="866" ht="14.25" customHeight="1" spans="1:47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</row>
    <row r="867" ht="14.25" customHeight="1" spans="1:4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</row>
    <row r="868" ht="14.25" customHeight="1" spans="1:47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</row>
    <row r="869" ht="14.25" customHeight="1" spans="1:47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</row>
    <row r="870" ht="14.25" customHeight="1" spans="1:47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</row>
    <row r="871" ht="14.25" customHeight="1" spans="1:47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</row>
    <row r="872" ht="14.25" customHeight="1" spans="1:47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</row>
    <row r="873" ht="14.25" customHeight="1" spans="1:47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</row>
    <row r="874" ht="14.25" customHeight="1" spans="1:47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</row>
    <row r="875" ht="14.25" customHeight="1" spans="1:47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</row>
    <row r="876" ht="14.25" customHeight="1" spans="1:47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</row>
    <row r="877" ht="14.25" customHeight="1" spans="1:4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</row>
    <row r="878" ht="14.25" customHeight="1" spans="1:47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</row>
    <row r="879" ht="14.25" customHeight="1" spans="1:47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</row>
    <row r="880" ht="14.25" customHeight="1" spans="1:47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</row>
    <row r="881" ht="14.25" customHeight="1" spans="1:47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</row>
    <row r="882" ht="14.25" customHeight="1" spans="1:47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</row>
    <row r="883" ht="14.25" customHeight="1" spans="1:47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</row>
    <row r="884" ht="14.25" customHeight="1" spans="1:47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</row>
    <row r="885" ht="14.25" customHeight="1" spans="1:47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</row>
    <row r="886" ht="14.25" customHeight="1" spans="1:47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</row>
    <row r="887" ht="14.25" customHeight="1" spans="1:4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</row>
    <row r="888" ht="14.25" customHeight="1" spans="1:47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</row>
    <row r="889" ht="14.25" customHeight="1" spans="1:47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</row>
    <row r="890" ht="14.25" customHeight="1" spans="1:47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</row>
    <row r="891" ht="14.25" customHeight="1" spans="1:47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</row>
    <row r="892" ht="14.25" customHeight="1" spans="1:47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</row>
    <row r="893" ht="14.25" customHeight="1" spans="1:47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</row>
    <row r="894" ht="14.25" customHeight="1" spans="1:47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</row>
    <row r="895" ht="14.25" customHeight="1" spans="1:47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</row>
    <row r="896" ht="14.25" customHeight="1" spans="1:47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</row>
    <row r="897" ht="14.25" customHeight="1" spans="1:4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</row>
    <row r="898" ht="14.25" customHeight="1" spans="1:47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</row>
    <row r="899" ht="14.25" customHeight="1" spans="1:47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</row>
    <row r="900" ht="14.25" customHeight="1" spans="1:47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</row>
    <row r="901" ht="14.25" customHeight="1" spans="1:47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</row>
    <row r="902" ht="14.25" customHeight="1" spans="1:47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</row>
    <row r="903" ht="14.25" customHeight="1" spans="1:47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</row>
    <row r="904" ht="14.25" customHeight="1" spans="1:47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</row>
    <row r="905" ht="14.25" customHeight="1" spans="1:47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</row>
    <row r="906" ht="14.25" customHeight="1" spans="1:47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</row>
    <row r="907" ht="14.25" customHeight="1" spans="1:4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</row>
    <row r="908" ht="14.25" customHeight="1" spans="1:47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</row>
    <row r="909" ht="14.25" customHeight="1" spans="1:47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</row>
    <row r="910" ht="14.25" customHeight="1" spans="1:47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</row>
    <row r="911" ht="14.25" customHeight="1" spans="1:47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</row>
    <row r="912" ht="14.25" customHeight="1" spans="1:47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</row>
    <row r="913" ht="14.25" customHeight="1" spans="1:47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</row>
    <row r="914" ht="14.25" customHeight="1" spans="1:47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</row>
    <row r="915" ht="14.25" customHeight="1" spans="1:47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</row>
    <row r="916" ht="14.25" customHeight="1" spans="1:47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</row>
    <row r="917" ht="14.25" customHeight="1" spans="1:4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</row>
    <row r="918" ht="14.25" customHeight="1" spans="1:47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</row>
    <row r="919" ht="14.25" customHeight="1" spans="1:47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</row>
    <row r="920" ht="14.25" customHeight="1" spans="1:47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</row>
    <row r="921" ht="14.25" customHeight="1" spans="1:47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</row>
    <row r="922" ht="14.25" customHeight="1" spans="1:47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</row>
    <row r="923" ht="14.25" customHeight="1" spans="1:47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</row>
    <row r="924" ht="14.25" customHeight="1" spans="1:47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</row>
    <row r="925" ht="14.25" customHeight="1" spans="1:47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</row>
    <row r="926" ht="14.25" customHeight="1" spans="1:47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</row>
    <row r="927" ht="14.25" customHeight="1" spans="1:4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</row>
    <row r="928" ht="14.25" customHeight="1" spans="1:47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</row>
    <row r="929" ht="14.25" customHeight="1" spans="1:47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</row>
    <row r="930" ht="14.25" customHeight="1" spans="1:47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</row>
    <row r="931" ht="14.25" customHeight="1" spans="1:47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</row>
    <row r="932" ht="14.25" customHeight="1" spans="1:47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</row>
    <row r="933" ht="14.25" customHeight="1" spans="1:47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</row>
    <row r="934" ht="14.25" customHeight="1" spans="1:47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</row>
    <row r="935" ht="14.25" customHeight="1" spans="1:47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</row>
    <row r="936" ht="14.25" customHeight="1" spans="1:47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</row>
    <row r="937" ht="14.25" customHeight="1" spans="1:4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</row>
    <row r="938" ht="14.25" customHeight="1" spans="1:47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</row>
    <row r="939" ht="14.25" customHeight="1" spans="1:47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</row>
    <row r="940" ht="14.25" customHeight="1" spans="1:47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</row>
    <row r="941" ht="14.25" customHeight="1" spans="1:47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</row>
    <row r="942" ht="14.25" customHeight="1" spans="1:47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</row>
    <row r="943" ht="14.25" customHeight="1" spans="1:47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</row>
    <row r="944" ht="14.25" customHeight="1" spans="1:47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</row>
    <row r="945" ht="14.25" customHeight="1" spans="1:47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</row>
    <row r="946" ht="14.25" customHeight="1" spans="1:47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</row>
    <row r="947" ht="14.25" customHeight="1" spans="1: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</row>
    <row r="948" ht="14.25" customHeight="1" spans="1:47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</row>
    <row r="949" ht="14.25" customHeight="1" spans="1:47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</row>
    <row r="950" ht="14.25" customHeight="1" spans="1:47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</row>
    <row r="951" ht="14.25" customHeight="1" spans="1:47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</row>
    <row r="952" ht="14.25" customHeight="1" spans="1:47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</row>
    <row r="953" ht="14.25" customHeight="1" spans="1:47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</row>
    <row r="954" ht="14.25" customHeight="1" spans="1:47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</row>
    <row r="955" ht="14.25" customHeight="1" spans="1:47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</row>
    <row r="956" ht="14.25" customHeight="1" spans="1:47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</row>
    <row r="957" ht="14.25" customHeight="1" spans="1:4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</row>
    <row r="958" ht="14.25" customHeight="1" spans="1:47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</row>
    <row r="959" ht="14.25" customHeight="1" spans="1:47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</row>
    <row r="960" ht="14.25" customHeight="1" spans="1:47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</row>
    <row r="961" ht="14.25" customHeight="1" spans="1:47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</row>
    <row r="962" ht="14.25" customHeight="1" spans="1:47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</row>
    <row r="963" ht="14.25" customHeight="1" spans="1:47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</row>
    <row r="964" ht="14.25" customHeight="1" spans="1:47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</row>
    <row r="965" ht="14.25" customHeight="1" spans="1:47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</row>
    <row r="966" ht="14.25" customHeight="1" spans="1:47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</row>
    <row r="967" ht="14.25" customHeight="1" spans="1:4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</row>
    <row r="968" ht="14.25" customHeight="1" spans="1:47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</row>
    <row r="969" ht="14.25" customHeight="1" spans="1:47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</row>
    <row r="970" ht="14.25" customHeight="1" spans="1:47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</row>
    <row r="971" ht="14.25" customHeight="1" spans="1:47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</row>
    <row r="972" ht="14.25" customHeight="1" spans="1:47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</row>
    <row r="973" ht="14.25" customHeight="1" spans="1:47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</row>
    <row r="974" ht="14.25" customHeight="1" spans="1:47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</row>
    <row r="975" ht="14.25" customHeight="1" spans="1:47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</row>
    <row r="976" ht="14.25" customHeight="1" spans="1:47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</row>
    <row r="977" ht="14.25" customHeight="1" spans="1:4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</row>
    <row r="978" ht="14.25" customHeight="1" spans="1:47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</row>
    <row r="979" ht="14.25" customHeight="1" spans="1:47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</row>
    <row r="980" ht="14.25" customHeight="1" spans="1:47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</row>
    <row r="981" ht="14.25" customHeight="1" spans="1:47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</row>
    <row r="982" ht="14.25" customHeight="1" spans="1:47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</row>
    <row r="983" ht="14.25" customHeight="1" spans="1:47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</row>
    <row r="984" ht="14.25" customHeight="1" spans="1:47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</row>
    <row r="985" ht="14.25" customHeight="1" spans="1:47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</row>
    <row r="986" ht="14.25" customHeight="1" spans="1:47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</row>
    <row r="987" ht="14.25" customHeight="1" spans="1:4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</row>
    <row r="988" ht="14.25" customHeight="1" spans="1:47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</row>
    <row r="989" ht="14.25" customHeight="1" spans="1:47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</row>
    <row r="990" ht="14.25" customHeight="1" spans="1:47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</row>
    <row r="991" ht="14.25" customHeight="1" spans="1:47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</row>
    <row r="992" ht="14.25" customHeight="1" spans="1:47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</row>
    <row r="993" ht="14.25" customHeight="1" spans="1:47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</row>
    <row r="994" ht="14.25" customHeight="1" spans="1:47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</row>
    <row r="995" ht="14.25" customHeight="1" spans="1:47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</row>
    <row r="996" ht="14.25" customHeight="1" spans="1:47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</row>
    <row r="997" ht="14.25" customHeight="1" spans="1:4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</row>
    <row r="998" ht="14.25" customHeight="1" spans="1:47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</row>
    <row r="999" ht="14.25" customHeight="1" spans="1:47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</row>
    <row r="1000" ht="14.25" customHeight="1" spans="1:47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</row>
  </sheetData>
  <mergeCells count="3">
    <mergeCell ref="B21:AU21"/>
    <mergeCell ref="B22:AU22"/>
    <mergeCell ref="B23:AU23"/>
  </mergeCells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000"/>
  <sheetViews>
    <sheetView workbookViewId="0">
      <selection activeCell="A1" sqref="A1"/>
    </sheetView>
  </sheetViews>
  <sheetFormatPr defaultColWidth="14.3909090909091" defaultRowHeight="15" customHeight="1" outlineLevelCol="5"/>
  <cols>
    <col min="1" max="2" width="9.14545454545454" customWidth="1"/>
    <col min="3" max="4" width="25.5545454545455" customWidth="1"/>
    <col min="5" max="5" width="14.3909090909091" customWidth="1"/>
    <col min="6" max="6" width="7.26363636363636" customWidth="1"/>
    <col min="7" max="26" width="8.74545454545455" customWidth="1"/>
  </cols>
  <sheetData>
    <row r="1" ht="14.25" customHeight="1"/>
    <row r="2" ht="14.25" customHeight="1" spans="2:6">
      <c r="B2" s="1" t="s">
        <v>167</v>
      </c>
      <c r="C2" s="1" t="s">
        <v>168</v>
      </c>
      <c r="D2" s="1" t="s">
        <v>169</v>
      </c>
      <c r="E2" s="1" t="s">
        <v>170</v>
      </c>
      <c r="F2" s="1" t="s">
        <v>171</v>
      </c>
    </row>
    <row r="3" ht="14.25" customHeight="1" spans="2:6">
      <c r="B3" s="2">
        <v>44896</v>
      </c>
      <c r="C3" s="3"/>
      <c r="D3" s="3"/>
      <c r="E3" s="3"/>
      <c r="F3" s="3"/>
    </row>
    <row r="4" ht="14.25" customHeight="1" spans="2:6">
      <c r="B4" s="2">
        <v>44927</v>
      </c>
      <c r="C4" s="3">
        <v>250</v>
      </c>
      <c r="D4" s="3"/>
      <c r="E4" s="3">
        <v>152</v>
      </c>
      <c r="F4" s="3">
        <v>402</v>
      </c>
    </row>
    <row r="5" ht="14.25" customHeight="1" spans="2:6">
      <c r="B5" s="2">
        <v>44958</v>
      </c>
      <c r="C5" s="3"/>
      <c r="D5" s="3"/>
      <c r="E5" s="3"/>
      <c r="F5" s="3"/>
    </row>
    <row r="6" ht="14.25" customHeight="1" spans="2:6">
      <c r="B6" s="2">
        <v>44986</v>
      </c>
      <c r="C6" s="3"/>
      <c r="D6" s="3"/>
      <c r="E6" s="3"/>
      <c r="F6" s="3"/>
    </row>
    <row r="7" ht="14.25" customHeight="1" spans="2:6">
      <c r="B7" s="2">
        <v>45017</v>
      </c>
      <c r="C7" s="3"/>
      <c r="D7" s="3"/>
      <c r="E7" s="3"/>
      <c r="F7" s="3"/>
    </row>
    <row r="8" ht="14.25" customHeight="1" spans="2:6">
      <c r="B8" s="2">
        <v>45047</v>
      </c>
      <c r="C8" s="3"/>
      <c r="D8" s="3"/>
      <c r="E8" s="3"/>
      <c r="F8" s="3"/>
    </row>
    <row r="9" ht="14.25" customHeight="1" spans="2:6">
      <c r="B9" s="2">
        <v>45078</v>
      </c>
      <c r="C9" s="3"/>
      <c r="D9" s="3"/>
      <c r="E9" s="3"/>
      <c r="F9" s="3"/>
    </row>
    <row r="10" ht="14.25" customHeight="1" spans="2:6">
      <c r="B10" s="2">
        <v>45108</v>
      </c>
      <c r="C10" s="3">
        <v>1591</v>
      </c>
      <c r="D10" s="3"/>
      <c r="E10" s="3"/>
      <c r="F10" s="3">
        <v>1591</v>
      </c>
    </row>
    <row r="11" ht="14.25" customHeight="1" spans="2:6">
      <c r="B11" s="2">
        <v>45139</v>
      </c>
      <c r="C11" s="3"/>
      <c r="D11" s="3"/>
      <c r="E11" s="3"/>
      <c r="F11" s="3"/>
    </row>
    <row r="12" ht="14.25" customHeight="1" spans="2:6">
      <c r="B12" s="2">
        <v>45170</v>
      </c>
      <c r="C12" s="3"/>
      <c r="D12" s="3"/>
      <c r="E12" s="3"/>
      <c r="F12" s="3"/>
    </row>
    <row r="13" ht="14.25" customHeight="1" spans="2:6">
      <c r="B13" s="2">
        <v>45200</v>
      </c>
      <c r="C13" s="3"/>
      <c r="D13" s="3"/>
      <c r="E13" s="3"/>
      <c r="F13" s="3"/>
    </row>
    <row r="14" ht="14.25" customHeight="1" spans="2:6">
      <c r="B14" s="2">
        <v>45231</v>
      </c>
      <c r="C14" s="3">
        <v>1512</v>
      </c>
      <c r="D14" s="3"/>
      <c r="E14" s="3"/>
      <c r="F14" s="3">
        <v>1512</v>
      </c>
    </row>
    <row r="15" ht="14.25" customHeight="1" spans="2:6">
      <c r="B15" s="2">
        <v>45261</v>
      </c>
      <c r="C15" s="3"/>
      <c r="D15" s="3"/>
      <c r="E15" s="3"/>
      <c r="F15" s="3"/>
    </row>
    <row r="16" ht="14.25" customHeight="1" spans="2:6">
      <c r="B16" s="2">
        <v>45292</v>
      </c>
      <c r="C16" s="3">
        <v>349</v>
      </c>
      <c r="D16" s="3"/>
      <c r="E16" s="3"/>
      <c r="F16" s="3">
        <v>349</v>
      </c>
    </row>
    <row r="17" ht="14.25" customHeight="1" spans="2:6">
      <c r="B17" s="2">
        <v>45323</v>
      </c>
      <c r="C17" s="3">
        <v>1228</v>
      </c>
      <c r="D17" s="3"/>
      <c r="E17" s="3"/>
      <c r="F17" s="3">
        <v>1228</v>
      </c>
    </row>
    <row r="18" ht="14.25" customHeight="1" spans="2:6">
      <c r="B18" s="2">
        <v>45352</v>
      </c>
      <c r="C18" s="3"/>
      <c r="D18" s="3"/>
      <c r="E18" s="3"/>
      <c r="F18" s="3"/>
    </row>
    <row r="19" ht="14.25" customHeight="1" spans="2:6">
      <c r="B19" s="2">
        <v>45383</v>
      </c>
      <c r="C19" s="3"/>
      <c r="D19" s="3"/>
      <c r="E19" s="3"/>
      <c r="F19" s="3"/>
    </row>
    <row r="20" ht="14.25" customHeight="1" spans="2:6">
      <c r="B20" s="2">
        <v>45413</v>
      </c>
      <c r="C20" s="3">
        <v>948</v>
      </c>
      <c r="D20" s="3"/>
      <c r="E20" s="3"/>
      <c r="F20" s="3">
        <v>948</v>
      </c>
    </row>
    <row r="21" ht="14.25" customHeight="1" spans="2:6">
      <c r="B21" s="2">
        <v>45444</v>
      </c>
      <c r="C21" s="3"/>
      <c r="D21" s="3"/>
      <c r="E21" s="3"/>
      <c r="F21" s="3"/>
    </row>
    <row r="22" ht="14.25" customHeight="1" spans="2:6">
      <c r="B22" s="2">
        <v>45474</v>
      </c>
      <c r="C22" s="3"/>
      <c r="D22" s="3"/>
      <c r="E22" s="3"/>
      <c r="F22" s="3"/>
    </row>
    <row r="23" ht="14.25" customHeight="1" spans="2:6">
      <c r="B23" s="2">
        <v>45505</v>
      </c>
      <c r="C23" s="3">
        <v>800</v>
      </c>
      <c r="D23" s="3"/>
      <c r="E23" s="3"/>
      <c r="F23" s="3">
        <v>800</v>
      </c>
    </row>
    <row r="24" ht="14.25" customHeight="1" spans="2:6">
      <c r="B24" s="2">
        <v>45536</v>
      </c>
      <c r="C24" s="3"/>
      <c r="D24" s="3"/>
      <c r="E24" s="3"/>
      <c r="F24" s="3"/>
    </row>
    <row r="25" ht="14.25" customHeight="1" spans="2:6">
      <c r="B25" s="2">
        <v>45566</v>
      </c>
      <c r="C25" s="3">
        <v>2076</v>
      </c>
      <c r="D25" s="3"/>
      <c r="E25" s="3"/>
      <c r="F25" s="3">
        <v>2076</v>
      </c>
    </row>
    <row r="26" ht="14.25" customHeight="1" spans="2:6">
      <c r="B26" s="2">
        <v>45597</v>
      </c>
      <c r="C26" s="3"/>
      <c r="D26" s="3"/>
      <c r="E26" s="3"/>
      <c r="F26" s="3"/>
    </row>
    <row r="27" ht="14.25" customHeight="1" spans="2:6">
      <c r="B27" s="2">
        <v>45627</v>
      </c>
      <c r="C27" s="3">
        <v>581</v>
      </c>
      <c r="D27" s="3"/>
      <c r="E27" s="3"/>
      <c r="F27" s="3">
        <v>581</v>
      </c>
    </row>
    <row r="28" ht="14.25" customHeight="1" spans="2:6">
      <c r="B28" s="2">
        <v>45658</v>
      </c>
      <c r="C28" s="3"/>
      <c r="D28" s="3"/>
      <c r="E28" s="3"/>
      <c r="F28" s="3"/>
    </row>
    <row r="29" ht="14.25" customHeight="1" spans="2:6">
      <c r="B29" s="2">
        <v>45689</v>
      </c>
      <c r="C29" s="3"/>
      <c r="D29" s="3"/>
      <c r="E29" s="3"/>
      <c r="F29" s="3"/>
    </row>
    <row r="30" ht="14.25" customHeight="1" spans="2:6">
      <c r="B30" s="2">
        <v>45717</v>
      </c>
      <c r="C30" s="3">
        <v>100</v>
      </c>
      <c r="D30" s="3"/>
      <c r="E30" s="3"/>
      <c r="F30" s="3">
        <v>100</v>
      </c>
    </row>
    <row r="31" ht="14.25" customHeight="1" spans="2:6">
      <c r="B31" s="2">
        <v>45748</v>
      </c>
      <c r="C31" s="3"/>
      <c r="D31" s="3"/>
      <c r="E31" s="3"/>
      <c r="F31" s="3"/>
    </row>
    <row r="32" ht="14.25" customHeight="1" spans="2:6">
      <c r="B32" s="2">
        <v>45778</v>
      </c>
      <c r="C32" s="3"/>
      <c r="D32" s="3"/>
      <c r="E32" s="3"/>
      <c r="F32" s="3"/>
    </row>
    <row r="33" ht="14.25" customHeight="1" spans="2:6">
      <c r="B33" s="2">
        <v>45809</v>
      </c>
      <c r="C33" s="3"/>
      <c r="D33" s="3"/>
      <c r="E33" s="3"/>
      <c r="F33" s="3"/>
    </row>
    <row r="34" ht="14.25" customHeight="1" spans="2:6">
      <c r="B34" s="2">
        <v>45839</v>
      </c>
      <c r="C34" s="3"/>
      <c r="D34" s="3"/>
      <c r="E34" s="3"/>
      <c r="F34" s="3"/>
    </row>
    <row r="35" ht="14.25" customHeight="1" spans="2:6">
      <c r="B35" s="2">
        <v>45870</v>
      </c>
      <c r="C35" s="3">
        <v>500</v>
      </c>
      <c r="D35" s="3"/>
      <c r="E35" s="3"/>
      <c r="F35" s="3">
        <v>500</v>
      </c>
    </row>
    <row r="36" ht="14.25" customHeight="1" spans="2:6">
      <c r="B36" s="2">
        <v>45901</v>
      </c>
      <c r="C36" s="3"/>
      <c r="D36" s="3"/>
      <c r="E36" s="3"/>
      <c r="F36" s="3"/>
    </row>
    <row r="37" ht="14.25" customHeight="1" spans="2:6">
      <c r="B37" s="2">
        <v>45931</v>
      </c>
      <c r="C37" s="3"/>
      <c r="D37" s="3"/>
      <c r="E37" s="3"/>
      <c r="F37" s="3"/>
    </row>
    <row r="38" ht="14.25" customHeight="1" spans="2:6">
      <c r="B38" s="2">
        <v>45962</v>
      </c>
      <c r="C38" s="3"/>
      <c r="D38" s="3">
        <v>196</v>
      </c>
      <c r="E38" s="3"/>
      <c r="F38" s="3">
        <v>196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0.75" bottom="0.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000"/>
  <sheetViews>
    <sheetView workbookViewId="0">
      <selection activeCell="A1" sqref="A1"/>
    </sheetView>
  </sheetViews>
  <sheetFormatPr defaultColWidth="14.3909090909091" defaultRowHeight="15" customHeight="1"/>
  <cols>
    <col min="1" max="1" width="9.14545454545454" customWidth="1"/>
    <col min="2" max="2" width="9.68181818181818" customWidth="1"/>
    <col min="3" max="3" width="9.00909090909091" customWidth="1"/>
    <col min="4" max="4" width="12.9181818181818" customWidth="1"/>
    <col min="5" max="5" width="13.0454545454545" customWidth="1"/>
    <col min="6" max="6" width="9.00909090909091" customWidth="1"/>
    <col min="7" max="7" width="12.9181818181818" customWidth="1"/>
    <col min="8" max="8" width="13.0454545454545" customWidth="1"/>
    <col min="9" max="9" width="9.00909090909091" customWidth="1"/>
    <col min="10" max="10" width="12.9181818181818" customWidth="1"/>
    <col min="11" max="11" width="13.0454545454545" customWidth="1"/>
    <col min="12" max="12" width="9.00909090909091" customWidth="1"/>
    <col min="13" max="13" width="12.9181818181818" customWidth="1"/>
    <col min="14" max="14" width="13.0454545454545" customWidth="1"/>
    <col min="15" max="26" width="8.74545454545455" customWidth="1"/>
  </cols>
  <sheetData>
    <row r="1" ht="14.25" customHeight="1"/>
    <row r="2" ht="14.25" customHeight="1" spans="2:14">
      <c r="B2" s="4" t="s">
        <v>167</v>
      </c>
      <c r="C2" s="5" t="s">
        <v>168</v>
      </c>
      <c r="D2" s="6"/>
      <c r="E2" s="7"/>
      <c r="F2" s="5" t="s">
        <v>169</v>
      </c>
      <c r="G2" s="6"/>
      <c r="H2" s="7"/>
      <c r="I2" s="5" t="s">
        <v>170</v>
      </c>
      <c r="J2" s="6"/>
      <c r="K2" s="7"/>
      <c r="L2" s="5" t="s">
        <v>172</v>
      </c>
      <c r="M2" s="6"/>
      <c r="N2" s="7"/>
    </row>
    <row r="3" ht="14.25" customHeight="1" spans="2:14">
      <c r="B3" s="8"/>
      <c r="C3" s="1" t="s">
        <v>173</v>
      </c>
      <c r="D3" s="1" t="s">
        <v>174</v>
      </c>
      <c r="E3" s="1" t="s">
        <v>175</v>
      </c>
      <c r="F3" s="1" t="s">
        <v>173</v>
      </c>
      <c r="G3" s="1" t="s">
        <v>174</v>
      </c>
      <c r="H3" s="1" t="s">
        <v>176</v>
      </c>
      <c r="I3" s="1" t="s">
        <v>173</v>
      </c>
      <c r="J3" s="1" t="s">
        <v>174</v>
      </c>
      <c r="K3" s="1" t="s">
        <v>176</v>
      </c>
      <c r="L3" s="1" t="s">
        <v>173</v>
      </c>
      <c r="M3" s="1" t="s">
        <v>174</v>
      </c>
      <c r="N3" s="1" t="s">
        <v>175</v>
      </c>
    </row>
    <row r="4" ht="14.25" customHeight="1" spans="2:14">
      <c r="B4" s="2">
        <v>44927</v>
      </c>
      <c r="C4" s="3">
        <v>250</v>
      </c>
      <c r="D4" s="3">
        <v>250</v>
      </c>
      <c r="E4" s="3"/>
      <c r="F4" s="3"/>
      <c r="G4" s="3"/>
      <c r="H4" s="3"/>
      <c r="I4" s="3">
        <v>152</v>
      </c>
      <c r="J4" s="3">
        <v>151</v>
      </c>
      <c r="K4" s="3">
        <v>1</v>
      </c>
      <c r="L4" s="3">
        <v>402</v>
      </c>
      <c r="M4" s="3">
        <v>401</v>
      </c>
      <c r="N4" s="3">
        <v>1</v>
      </c>
    </row>
    <row r="5" ht="14.25" customHeight="1" spans="2:14">
      <c r="B5" s="2">
        <v>45108</v>
      </c>
      <c r="C5" s="3">
        <v>1591</v>
      </c>
      <c r="D5" s="3">
        <v>1555</v>
      </c>
      <c r="E5" s="3">
        <v>36</v>
      </c>
      <c r="F5" s="3"/>
      <c r="G5" s="3"/>
      <c r="H5" s="3"/>
      <c r="I5" s="3"/>
      <c r="J5" s="3"/>
      <c r="K5" s="3"/>
      <c r="L5" s="3">
        <v>1591</v>
      </c>
      <c r="M5" s="3">
        <v>1555</v>
      </c>
      <c r="N5" s="3">
        <v>36</v>
      </c>
    </row>
    <row r="6" ht="14.25" customHeight="1" spans="2:14">
      <c r="B6" s="2">
        <v>45231</v>
      </c>
      <c r="C6" s="3">
        <v>1512</v>
      </c>
      <c r="D6" s="3">
        <v>1452</v>
      </c>
      <c r="E6" s="3">
        <v>60</v>
      </c>
      <c r="F6" s="3"/>
      <c r="G6" s="3"/>
      <c r="H6" s="3"/>
      <c r="I6" s="3"/>
      <c r="J6" s="3"/>
      <c r="K6" s="3"/>
      <c r="L6" s="3">
        <v>1512</v>
      </c>
      <c r="M6" s="3">
        <v>1452</v>
      </c>
      <c r="N6" s="3">
        <v>60</v>
      </c>
    </row>
    <row r="7" ht="14.25" customHeight="1" spans="2:14">
      <c r="B7" s="2">
        <v>45292</v>
      </c>
      <c r="C7" s="3">
        <v>349</v>
      </c>
      <c r="D7" s="3">
        <v>225</v>
      </c>
      <c r="E7" s="3">
        <v>124</v>
      </c>
      <c r="F7" s="3"/>
      <c r="G7" s="3"/>
      <c r="H7" s="3"/>
      <c r="I7" s="3"/>
      <c r="J7" s="3"/>
      <c r="K7" s="3"/>
      <c r="L7" s="3">
        <v>349</v>
      </c>
      <c r="M7" s="3">
        <v>225</v>
      </c>
      <c r="N7" s="3">
        <v>124</v>
      </c>
    </row>
    <row r="8" ht="14.25" customHeight="1" spans="2:14">
      <c r="B8" s="2">
        <v>45323</v>
      </c>
      <c r="C8" s="3">
        <v>1228</v>
      </c>
      <c r="D8" s="3">
        <v>997</v>
      </c>
      <c r="E8" s="3">
        <v>231</v>
      </c>
      <c r="F8" s="3"/>
      <c r="G8" s="3"/>
      <c r="H8" s="3"/>
      <c r="I8" s="3"/>
      <c r="J8" s="3"/>
      <c r="K8" s="3"/>
      <c r="L8" s="3">
        <v>1228</v>
      </c>
      <c r="M8" s="3">
        <v>997</v>
      </c>
      <c r="N8" s="3">
        <v>231</v>
      </c>
    </row>
    <row r="9" ht="14.25" customHeight="1" spans="2:14">
      <c r="B9" s="2">
        <v>45413</v>
      </c>
      <c r="C9" s="3">
        <v>948</v>
      </c>
      <c r="D9" s="3">
        <v>948</v>
      </c>
      <c r="E9" s="3"/>
      <c r="F9" s="3"/>
      <c r="G9" s="3"/>
      <c r="H9" s="3"/>
      <c r="I9" s="3"/>
      <c r="J9" s="3"/>
      <c r="K9" s="3"/>
      <c r="L9" s="3">
        <v>948</v>
      </c>
      <c r="M9" s="3">
        <v>948</v>
      </c>
      <c r="N9" s="3"/>
    </row>
    <row r="10" ht="14.25" customHeight="1" spans="2:14">
      <c r="B10" s="2">
        <v>45505</v>
      </c>
      <c r="C10" s="3">
        <v>800</v>
      </c>
      <c r="D10" s="3">
        <v>800</v>
      </c>
      <c r="E10" s="3"/>
      <c r="F10" s="3"/>
      <c r="G10" s="3"/>
      <c r="H10" s="3"/>
      <c r="I10" s="3"/>
      <c r="J10" s="3"/>
      <c r="K10" s="3"/>
      <c r="L10" s="3">
        <v>800</v>
      </c>
      <c r="M10" s="3">
        <v>800</v>
      </c>
      <c r="N10" s="3"/>
    </row>
    <row r="11" ht="14.25" customHeight="1" spans="2:14">
      <c r="B11" s="2">
        <v>45566</v>
      </c>
      <c r="C11" s="3">
        <v>2076</v>
      </c>
      <c r="D11" s="3">
        <v>1516</v>
      </c>
      <c r="E11" s="3">
        <v>560</v>
      </c>
      <c r="F11" s="3"/>
      <c r="G11" s="3"/>
      <c r="H11" s="3"/>
      <c r="I11" s="3"/>
      <c r="J11" s="3"/>
      <c r="K11" s="3"/>
      <c r="L11" s="3">
        <v>2076</v>
      </c>
      <c r="M11" s="3">
        <v>1516</v>
      </c>
      <c r="N11" s="3">
        <v>560</v>
      </c>
    </row>
    <row r="12" ht="14.25" customHeight="1" spans="2:14">
      <c r="B12" s="2">
        <v>45627</v>
      </c>
      <c r="C12" s="3">
        <v>581</v>
      </c>
      <c r="D12" s="3">
        <v>576</v>
      </c>
      <c r="E12" s="3">
        <v>5</v>
      </c>
      <c r="F12" s="3"/>
      <c r="G12" s="3"/>
      <c r="H12" s="3"/>
      <c r="I12" s="3"/>
      <c r="J12" s="3"/>
      <c r="K12" s="3"/>
      <c r="L12" s="3">
        <v>581</v>
      </c>
      <c r="M12" s="3">
        <v>576</v>
      </c>
      <c r="N12" s="3">
        <v>5</v>
      </c>
    </row>
    <row r="13" ht="14.25" customHeight="1" spans="2:14">
      <c r="B13" s="2">
        <v>45717</v>
      </c>
      <c r="C13" s="3">
        <v>100</v>
      </c>
      <c r="D13" s="3">
        <v>17</v>
      </c>
      <c r="E13" s="3">
        <v>83</v>
      </c>
      <c r="F13" s="3"/>
      <c r="G13" s="3"/>
      <c r="H13" s="3"/>
      <c r="I13" s="3"/>
      <c r="J13" s="3"/>
      <c r="K13" s="3"/>
      <c r="L13" s="3">
        <v>100</v>
      </c>
      <c r="M13" s="3">
        <v>17</v>
      </c>
      <c r="N13" s="3">
        <v>83</v>
      </c>
    </row>
    <row r="14" ht="14.25" customHeight="1" spans="2:14">
      <c r="B14" s="2">
        <v>45870</v>
      </c>
      <c r="C14" s="3">
        <v>500</v>
      </c>
      <c r="D14" s="3">
        <v>33</v>
      </c>
      <c r="E14" s="3">
        <v>467</v>
      </c>
      <c r="F14" s="3"/>
      <c r="G14" s="3"/>
      <c r="H14" s="3"/>
      <c r="I14" s="3"/>
      <c r="J14" s="3"/>
      <c r="K14" s="3"/>
      <c r="L14" s="3">
        <v>500</v>
      </c>
      <c r="M14" s="3">
        <v>33</v>
      </c>
      <c r="N14" s="3">
        <v>467</v>
      </c>
    </row>
    <row r="15" ht="14.25" customHeight="1" spans="2:14">
      <c r="B15" s="2">
        <v>45962</v>
      </c>
      <c r="C15" s="3"/>
      <c r="D15" s="3"/>
      <c r="E15" s="3"/>
      <c r="F15" s="3">
        <v>196</v>
      </c>
      <c r="G15" s="3">
        <v>22</v>
      </c>
      <c r="H15" s="3">
        <v>174</v>
      </c>
      <c r="I15" s="3"/>
      <c r="J15" s="3"/>
      <c r="K15" s="3"/>
      <c r="L15" s="3">
        <v>196</v>
      </c>
      <c r="M15" s="3">
        <v>22</v>
      </c>
      <c r="N15" s="3">
        <v>174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C2:E2"/>
    <mergeCell ref="F2:H2"/>
    <mergeCell ref="I2:K2"/>
    <mergeCell ref="L2:N2"/>
    <mergeCell ref="B2:B3"/>
  </mergeCells>
  <pageMargins left="0.7" right="0.7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workbookViewId="0">
      <selection activeCell="A1" sqref="A1"/>
    </sheetView>
  </sheetViews>
  <sheetFormatPr defaultColWidth="14.3909090909091" defaultRowHeight="15" customHeight="1" outlineLevelCol="3"/>
  <cols>
    <col min="1" max="1" width="7.8" customWidth="1"/>
    <col min="2" max="2" width="28.9181818181818" customWidth="1"/>
    <col min="3" max="3" width="27.3090909090909" customWidth="1"/>
    <col min="4" max="4" width="31.6090909090909" customWidth="1"/>
    <col min="5" max="26" width="8.74545454545455" customWidth="1"/>
  </cols>
  <sheetData>
    <row r="1" ht="14.25" customHeight="1" spans="1:4">
      <c r="A1" s="1" t="s">
        <v>167</v>
      </c>
      <c r="B1" s="1" t="s">
        <v>177</v>
      </c>
      <c r="C1" s="1" t="s">
        <v>178</v>
      </c>
      <c r="D1" s="1" t="s">
        <v>179</v>
      </c>
    </row>
    <row r="2" ht="14.25" customHeight="1" spans="1:4">
      <c r="A2" s="3" t="s">
        <v>180</v>
      </c>
      <c r="B2" s="3">
        <v>4424</v>
      </c>
      <c r="C2" s="3">
        <v>4696</v>
      </c>
      <c r="D2" s="3">
        <v>4472</v>
      </c>
    </row>
    <row r="3" ht="14.25" customHeight="1" spans="1:4">
      <c r="A3" s="3" t="s">
        <v>181</v>
      </c>
      <c r="B3" s="3"/>
      <c r="C3" s="3">
        <v>4997</v>
      </c>
      <c r="D3" s="3">
        <v>4425</v>
      </c>
    </row>
    <row r="4" ht="14.25" customHeight="1" spans="1:4">
      <c r="A4" s="3" t="s">
        <v>182</v>
      </c>
      <c r="B4" s="3">
        <v>5850</v>
      </c>
      <c r="C4" s="3">
        <v>6091</v>
      </c>
      <c r="D4" s="3">
        <v>5989</v>
      </c>
    </row>
    <row r="5" ht="14.25" customHeight="1" spans="1:4">
      <c r="A5" s="3" t="s">
        <v>183</v>
      </c>
      <c r="B5" s="3">
        <v>7537</v>
      </c>
      <c r="C5" s="3">
        <v>7077</v>
      </c>
      <c r="D5" s="3">
        <v>6948</v>
      </c>
    </row>
    <row r="6" ht="14.25" customHeight="1" spans="1:4">
      <c r="A6" s="3" t="s">
        <v>184</v>
      </c>
      <c r="B6" s="3">
        <v>7972</v>
      </c>
      <c r="C6" s="3">
        <v>7649</v>
      </c>
      <c r="D6" s="3">
        <v>7666</v>
      </c>
    </row>
    <row r="7" ht="14.25" customHeight="1" spans="1:4">
      <c r="A7" s="3" t="s">
        <v>185</v>
      </c>
      <c r="B7" s="3">
        <v>8860</v>
      </c>
      <c r="C7" s="3">
        <v>7852</v>
      </c>
      <c r="D7" s="3">
        <v>7947</v>
      </c>
    </row>
    <row r="8" ht="14.25" customHeight="1" spans="1:4">
      <c r="A8" s="3" t="s">
        <v>186</v>
      </c>
      <c r="B8" s="3">
        <v>9345</v>
      </c>
      <c r="C8" s="3">
        <v>8443</v>
      </c>
      <c r="D8" s="3">
        <v>8590</v>
      </c>
    </row>
    <row r="9" ht="14.25" customHeight="1" spans="1:4">
      <c r="A9" s="3" t="s">
        <v>187</v>
      </c>
      <c r="B9" s="3">
        <v>7739</v>
      </c>
      <c r="C9" s="3">
        <v>8020</v>
      </c>
      <c r="D9" s="3">
        <v>8283</v>
      </c>
    </row>
    <row r="10" ht="14.25" customHeight="1" spans="1:4">
      <c r="A10" s="3" t="s">
        <v>188</v>
      </c>
      <c r="B10" s="3">
        <v>10500</v>
      </c>
      <c r="C10" s="3">
        <v>8328</v>
      </c>
      <c r="D10" s="3">
        <v>8530</v>
      </c>
    </row>
    <row r="11" ht="14.25" customHeight="1" spans="1:4">
      <c r="A11" s="3" t="s">
        <v>189</v>
      </c>
      <c r="B11" s="3"/>
      <c r="C11" s="3">
        <v>8619</v>
      </c>
      <c r="D11" s="3">
        <v>8573</v>
      </c>
    </row>
    <row r="12" ht="14.25" customHeight="1" spans="1:4">
      <c r="A12" s="3" t="s">
        <v>190</v>
      </c>
      <c r="B12" s="3">
        <v>7700</v>
      </c>
      <c r="C12" s="3">
        <v>8744</v>
      </c>
      <c r="D12" s="3">
        <v>8302</v>
      </c>
    </row>
    <row r="13" ht="14.25" customHeight="1" spans="1:4">
      <c r="A13" s="3" t="s">
        <v>191</v>
      </c>
      <c r="B13" s="3">
        <v>17285</v>
      </c>
      <c r="C13" s="3">
        <v>11217</v>
      </c>
      <c r="D13" s="3">
        <v>10687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000"/>
  <sheetViews>
    <sheetView workbookViewId="0">
      <selection activeCell="A1" sqref="A1"/>
    </sheetView>
  </sheetViews>
  <sheetFormatPr defaultColWidth="14.3909090909091" defaultRowHeight="15" customHeight="1" outlineLevelCol="7"/>
  <cols>
    <col min="1" max="1" width="8.74545454545455" customWidth="1"/>
    <col min="2" max="2" width="9.14545454545454" customWidth="1"/>
    <col min="3" max="3" width="21.7909090909091" customWidth="1"/>
    <col min="4" max="4" width="10.7636363636364" customWidth="1"/>
    <col min="5" max="5" width="18.2909090909091" customWidth="1"/>
    <col min="6" max="7" width="18.5636363636364" customWidth="1"/>
    <col min="8" max="8" width="13.8545454545455" customWidth="1"/>
    <col min="9" max="26" width="8.74545454545455" customWidth="1"/>
  </cols>
  <sheetData>
    <row r="1" ht="14.25" customHeight="1"/>
    <row r="2" ht="14.25" customHeight="1" spans="2:8">
      <c r="B2" s="1" t="s">
        <v>167</v>
      </c>
      <c r="C2" s="1" t="s">
        <v>192</v>
      </c>
      <c r="D2" s="1" t="s">
        <v>193</v>
      </c>
      <c r="E2" s="1" t="s">
        <v>194</v>
      </c>
      <c r="F2" s="1" t="s">
        <v>195</v>
      </c>
      <c r="G2" s="1" t="s">
        <v>196</v>
      </c>
      <c r="H2" s="1" t="s">
        <v>197</v>
      </c>
    </row>
    <row r="3" ht="14.25" customHeight="1" spans="2:8">
      <c r="B3" s="2">
        <v>44927</v>
      </c>
      <c r="C3" s="3">
        <v>2</v>
      </c>
      <c r="D3" s="3">
        <v>402</v>
      </c>
      <c r="E3" s="3">
        <v>6491</v>
      </c>
      <c r="F3" s="3">
        <v>6770</v>
      </c>
      <c r="G3" s="3">
        <v>7049</v>
      </c>
      <c r="H3" s="3">
        <v>54</v>
      </c>
    </row>
    <row r="4" ht="14.25" customHeight="1" spans="2:8">
      <c r="B4" s="2">
        <v>44958</v>
      </c>
      <c r="C4" s="3"/>
      <c r="D4" s="3"/>
      <c r="E4" s="3"/>
      <c r="F4" s="3"/>
      <c r="G4" s="3"/>
      <c r="H4" s="3"/>
    </row>
    <row r="5" ht="14.25" customHeight="1" spans="2:8">
      <c r="B5" s="2">
        <v>44986</v>
      </c>
      <c r="C5" s="3"/>
      <c r="D5" s="3"/>
      <c r="E5" s="3"/>
      <c r="F5" s="3"/>
      <c r="G5" s="3"/>
      <c r="H5" s="3"/>
    </row>
    <row r="6" ht="14.25" customHeight="1" spans="2:8">
      <c r="B6" s="2">
        <v>45017</v>
      </c>
      <c r="C6" s="3"/>
      <c r="D6" s="3"/>
      <c r="E6" s="3"/>
      <c r="F6" s="3"/>
      <c r="G6" s="3"/>
      <c r="H6" s="3"/>
    </row>
    <row r="7" ht="14.25" customHeight="1" spans="2:8">
      <c r="B7" s="2">
        <v>45047</v>
      </c>
      <c r="C7" s="3"/>
      <c r="D7" s="3"/>
      <c r="E7" s="3"/>
      <c r="F7" s="3"/>
      <c r="G7" s="3"/>
      <c r="H7" s="3"/>
    </row>
    <row r="8" ht="14.25" customHeight="1" spans="2:8">
      <c r="B8" s="2">
        <v>45078</v>
      </c>
      <c r="C8" s="3"/>
      <c r="D8" s="3"/>
      <c r="E8" s="3"/>
      <c r="F8" s="3"/>
      <c r="G8" s="3"/>
      <c r="H8" s="3"/>
    </row>
    <row r="9" ht="14.25" customHeight="1" spans="2:8">
      <c r="B9" s="2">
        <v>45108</v>
      </c>
      <c r="C9" s="3">
        <v>2</v>
      </c>
      <c r="D9" s="3">
        <v>1591</v>
      </c>
      <c r="E9" s="3">
        <v>8309</v>
      </c>
      <c r="F9" s="3">
        <v>8700</v>
      </c>
      <c r="G9" s="3">
        <v>9091</v>
      </c>
      <c r="H9" s="3">
        <v>293</v>
      </c>
    </row>
    <row r="10" ht="14.25" customHeight="1" spans="2:8">
      <c r="B10" s="2">
        <v>45139</v>
      </c>
      <c r="C10" s="3"/>
      <c r="D10" s="3"/>
      <c r="E10" s="3"/>
      <c r="F10" s="3"/>
      <c r="G10" s="3"/>
      <c r="H10" s="3"/>
    </row>
    <row r="11" ht="14.25" customHeight="1" spans="2:8">
      <c r="B11" s="2">
        <v>45170</v>
      </c>
      <c r="C11" s="3"/>
      <c r="D11" s="3"/>
      <c r="E11" s="3"/>
      <c r="F11" s="3"/>
      <c r="G11" s="3"/>
      <c r="H11" s="3"/>
    </row>
    <row r="12" ht="14.25" customHeight="1" spans="2:8">
      <c r="B12" s="2">
        <v>45200</v>
      </c>
      <c r="C12" s="3"/>
      <c r="D12" s="3"/>
      <c r="E12" s="3"/>
      <c r="F12" s="3"/>
      <c r="G12" s="3"/>
      <c r="H12" s="3"/>
    </row>
    <row r="13" ht="14.25" customHeight="1" spans="2:8">
      <c r="B13" s="2">
        <v>45231</v>
      </c>
      <c r="C13" s="3">
        <v>1</v>
      </c>
      <c r="D13" s="3">
        <v>1512</v>
      </c>
      <c r="E13" s="3">
        <v>8050</v>
      </c>
      <c r="F13" s="3">
        <v>8400</v>
      </c>
      <c r="G13" s="3">
        <v>8750</v>
      </c>
      <c r="H13" s="3">
        <v>485</v>
      </c>
    </row>
    <row r="14" ht="14.25" customHeight="1" spans="2:8">
      <c r="B14" s="2">
        <v>45261</v>
      </c>
      <c r="C14" s="3"/>
      <c r="D14" s="3"/>
      <c r="E14" s="3"/>
      <c r="F14" s="3"/>
      <c r="G14" s="3"/>
      <c r="H14" s="3"/>
    </row>
    <row r="15" ht="14.25" customHeight="1" spans="2:8">
      <c r="B15" s="2">
        <v>45292</v>
      </c>
      <c r="C15" s="3">
        <v>1</v>
      </c>
      <c r="D15" s="3">
        <v>349</v>
      </c>
      <c r="E15" s="3">
        <v>8050</v>
      </c>
      <c r="F15" s="3">
        <v>8400</v>
      </c>
      <c r="G15" s="3">
        <v>8750</v>
      </c>
      <c r="H15" s="3">
        <v>41</v>
      </c>
    </row>
    <row r="16" ht="14.25" customHeight="1" spans="2:8">
      <c r="B16" s="2">
        <v>45323</v>
      </c>
      <c r="C16" s="3">
        <v>3</v>
      </c>
      <c r="D16" s="3">
        <v>1228</v>
      </c>
      <c r="E16" s="3">
        <v>8580</v>
      </c>
      <c r="F16" s="3">
        <v>8823</v>
      </c>
      <c r="G16" s="3">
        <v>9066</v>
      </c>
      <c r="H16" s="3">
        <v>269</v>
      </c>
    </row>
    <row r="17" ht="14.25" customHeight="1" spans="2:8">
      <c r="B17" s="2">
        <v>45352</v>
      </c>
      <c r="C17" s="3"/>
      <c r="D17" s="3"/>
      <c r="E17" s="3"/>
      <c r="F17" s="3"/>
      <c r="G17" s="3"/>
      <c r="H17" s="3"/>
    </row>
    <row r="18" ht="14.25" customHeight="1" spans="2:8">
      <c r="B18" s="2">
        <v>45383</v>
      </c>
      <c r="C18" s="3"/>
      <c r="D18" s="3"/>
      <c r="E18" s="3"/>
      <c r="F18" s="3"/>
      <c r="G18" s="3"/>
      <c r="H18" s="3"/>
    </row>
    <row r="19" ht="14.25" customHeight="1" spans="2:8">
      <c r="B19" s="2">
        <v>45413</v>
      </c>
      <c r="C19" s="3">
        <v>1</v>
      </c>
      <c r="D19" s="3">
        <v>948</v>
      </c>
      <c r="E19" s="3">
        <v>9400</v>
      </c>
      <c r="F19" s="3">
        <v>9700</v>
      </c>
      <c r="G19" s="3">
        <v>10000</v>
      </c>
      <c r="H19" s="3">
        <v>98</v>
      </c>
    </row>
    <row r="20" ht="14.25" customHeight="1" spans="2:8">
      <c r="B20" s="2">
        <v>45444</v>
      </c>
      <c r="C20" s="3"/>
      <c r="D20" s="3"/>
      <c r="E20" s="3"/>
      <c r="F20" s="3"/>
      <c r="G20" s="3"/>
      <c r="H20" s="3"/>
    </row>
    <row r="21" ht="14.25" customHeight="1" spans="2:8">
      <c r="B21" s="2">
        <v>45474</v>
      </c>
      <c r="C21" s="3"/>
      <c r="D21" s="3"/>
      <c r="E21" s="3"/>
      <c r="F21" s="3"/>
      <c r="G21" s="3"/>
      <c r="H21" s="3"/>
    </row>
    <row r="22" ht="14.25" customHeight="1" spans="2:8">
      <c r="B22" s="2">
        <v>45505</v>
      </c>
      <c r="C22" s="3">
        <v>1</v>
      </c>
      <c r="D22" s="3">
        <v>800</v>
      </c>
      <c r="E22" s="3">
        <v>9400</v>
      </c>
      <c r="F22" s="3">
        <v>9700</v>
      </c>
      <c r="G22" s="3">
        <v>10000</v>
      </c>
      <c r="H22" s="3">
        <v>58</v>
      </c>
    </row>
    <row r="23" ht="14.25" customHeight="1" spans="2:8">
      <c r="B23" s="2">
        <v>45536</v>
      </c>
      <c r="C23" s="3"/>
      <c r="D23" s="3"/>
      <c r="E23" s="3"/>
      <c r="F23" s="3"/>
      <c r="G23" s="3"/>
      <c r="H23" s="3"/>
    </row>
    <row r="24" ht="14.25" customHeight="1" spans="2:8">
      <c r="B24" s="2">
        <v>45566</v>
      </c>
      <c r="C24" s="3">
        <v>2</v>
      </c>
      <c r="D24" s="3">
        <v>2076</v>
      </c>
      <c r="E24" s="3">
        <v>7785</v>
      </c>
      <c r="F24" s="3">
        <v>7785</v>
      </c>
      <c r="G24" s="3">
        <v>7785</v>
      </c>
      <c r="H24" s="3">
        <v>338</v>
      </c>
    </row>
    <row r="25" ht="14.25" customHeight="1" spans="2:8">
      <c r="B25" s="2">
        <v>45597</v>
      </c>
      <c r="C25" s="3"/>
      <c r="D25" s="3"/>
      <c r="E25" s="3"/>
      <c r="F25" s="3"/>
      <c r="G25" s="3"/>
      <c r="H25" s="3"/>
    </row>
    <row r="26" ht="14.25" customHeight="1" spans="2:8">
      <c r="B26" s="2">
        <v>45627</v>
      </c>
      <c r="C26" s="3">
        <v>1</v>
      </c>
      <c r="D26" s="3">
        <v>581</v>
      </c>
      <c r="E26" s="3">
        <v>9400</v>
      </c>
      <c r="F26" s="3">
        <v>9895</v>
      </c>
      <c r="G26" s="3">
        <v>10390</v>
      </c>
      <c r="H26" s="3">
        <v>475</v>
      </c>
    </row>
    <row r="27" ht="14.25" customHeight="1" spans="2:8">
      <c r="B27" s="2">
        <v>45658</v>
      </c>
      <c r="C27" s="3"/>
      <c r="D27" s="3"/>
      <c r="E27" s="3"/>
      <c r="F27" s="3"/>
      <c r="G27" s="3"/>
      <c r="H27" s="3"/>
    </row>
    <row r="28" ht="14.25" customHeight="1" spans="2:8">
      <c r="B28" s="2">
        <v>45689</v>
      </c>
      <c r="C28" s="3"/>
      <c r="D28" s="3"/>
      <c r="E28" s="3"/>
      <c r="F28" s="3"/>
      <c r="G28" s="3"/>
      <c r="H28" s="3"/>
    </row>
    <row r="29" ht="14.25" customHeight="1" spans="2:8">
      <c r="B29" s="2">
        <v>45717</v>
      </c>
      <c r="C29" s="3">
        <v>1</v>
      </c>
      <c r="D29" s="3">
        <v>100</v>
      </c>
      <c r="E29" s="3">
        <v>10500</v>
      </c>
      <c r="F29" s="3">
        <v>10500</v>
      </c>
      <c r="G29" s="3">
        <v>10500</v>
      </c>
      <c r="H29" s="3">
        <v>2</v>
      </c>
    </row>
    <row r="30" ht="14.25" customHeight="1" spans="2:8">
      <c r="B30" s="2">
        <v>45748</v>
      </c>
      <c r="C30" s="3"/>
      <c r="D30" s="3"/>
      <c r="E30" s="3"/>
      <c r="F30" s="3"/>
      <c r="G30" s="3"/>
      <c r="H30" s="3"/>
    </row>
    <row r="31" ht="14.25" customHeight="1" spans="2:8">
      <c r="B31" s="2">
        <v>45778</v>
      </c>
      <c r="C31" s="3"/>
      <c r="D31" s="3"/>
      <c r="E31" s="3"/>
      <c r="F31" s="3"/>
      <c r="G31" s="3"/>
      <c r="H31" s="3"/>
    </row>
    <row r="32" ht="14.25" customHeight="1" spans="2:8">
      <c r="B32" s="2">
        <v>45809</v>
      </c>
      <c r="C32" s="3"/>
      <c r="D32" s="3"/>
      <c r="E32" s="3"/>
      <c r="F32" s="3"/>
      <c r="G32" s="3"/>
      <c r="H32" s="3"/>
    </row>
    <row r="33" ht="14.25" customHeight="1" spans="2:8">
      <c r="B33" s="2">
        <v>45839</v>
      </c>
      <c r="C33" s="3"/>
      <c r="D33" s="3"/>
      <c r="E33" s="3"/>
      <c r="F33" s="3"/>
      <c r="G33" s="3"/>
      <c r="H33" s="3"/>
    </row>
    <row r="34" ht="14.25" customHeight="1" spans="2:8">
      <c r="B34" s="2">
        <v>45870</v>
      </c>
      <c r="C34" s="3">
        <v>1</v>
      </c>
      <c r="D34" s="3">
        <v>500</v>
      </c>
      <c r="E34" s="3">
        <v>7700</v>
      </c>
      <c r="F34" s="3">
        <v>7700</v>
      </c>
      <c r="G34" s="3">
        <v>7700</v>
      </c>
      <c r="H34" s="3">
        <v>11</v>
      </c>
    </row>
    <row r="35" ht="14.25" customHeight="1" spans="2:8">
      <c r="B35" s="2">
        <v>45901</v>
      </c>
      <c r="C35" s="3"/>
      <c r="D35" s="3"/>
      <c r="E35" s="3"/>
      <c r="F35" s="3"/>
      <c r="G35" s="3"/>
      <c r="H35" s="3"/>
    </row>
    <row r="36" ht="14.25" customHeight="1" spans="2:8">
      <c r="B36" s="2">
        <v>45931</v>
      </c>
      <c r="C36" s="3"/>
      <c r="D36" s="3"/>
      <c r="E36" s="3"/>
      <c r="F36" s="3"/>
      <c r="G36" s="3"/>
      <c r="H36" s="3"/>
    </row>
    <row r="37" ht="14.25" customHeight="1" spans="2:8">
      <c r="B37" s="2">
        <v>45962</v>
      </c>
      <c r="C37" s="3">
        <v>1</v>
      </c>
      <c r="D37" s="3">
        <v>196</v>
      </c>
      <c r="E37" s="3">
        <v>17285</v>
      </c>
      <c r="F37" s="3">
        <v>17285</v>
      </c>
      <c r="G37" s="3">
        <v>17285</v>
      </c>
      <c r="H37" s="3">
        <v>22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000"/>
  <sheetViews>
    <sheetView workbookViewId="0">
      <selection activeCell="A1" sqref="A1"/>
    </sheetView>
  </sheetViews>
  <sheetFormatPr defaultColWidth="14.3909090909091" defaultRowHeight="15" customHeight="1" outlineLevelCol="4"/>
  <cols>
    <col min="1" max="2" width="9.14545454545454" customWidth="1"/>
    <col min="3" max="3" width="18.1636363636364" customWidth="1"/>
    <col min="4" max="4" width="15.8727272727273" customWidth="1"/>
    <col min="5" max="5" width="29.3272727272727" customWidth="1"/>
    <col min="6" max="26" width="8.74545454545455" customWidth="1"/>
  </cols>
  <sheetData>
    <row r="1" ht="14.25" customHeight="1"/>
    <row r="2" ht="14.25" customHeight="1" spans="2:5">
      <c r="B2" s="1" t="s">
        <v>167</v>
      </c>
      <c r="C2" s="1" t="s">
        <v>198</v>
      </c>
      <c r="D2" s="1" t="s">
        <v>199</v>
      </c>
      <c r="E2" s="1" t="s">
        <v>200</v>
      </c>
    </row>
    <row r="3" ht="14.25" customHeight="1" spans="2:5">
      <c r="B3" s="2">
        <v>44927</v>
      </c>
      <c r="C3" s="3">
        <v>54</v>
      </c>
      <c r="D3" s="3">
        <v>348</v>
      </c>
      <c r="E3" s="3">
        <v>6</v>
      </c>
    </row>
    <row r="4" ht="14.25" customHeight="1" spans="2:5">
      <c r="B4" s="2">
        <v>44958</v>
      </c>
      <c r="C4" s="3">
        <v>38</v>
      </c>
      <c r="D4" s="3">
        <v>310</v>
      </c>
      <c r="E4" s="3">
        <v>7</v>
      </c>
    </row>
    <row r="5" ht="14.25" customHeight="1" spans="2:5">
      <c r="B5" s="2">
        <v>44986</v>
      </c>
      <c r="C5" s="3">
        <v>29</v>
      </c>
      <c r="D5" s="3">
        <v>281</v>
      </c>
      <c r="E5" s="3">
        <v>7</v>
      </c>
    </row>
    <row r="6" ht="14.25" customHeight="1" spans="2:5">
      <c r="B6" s="2">
        <v>45017</v>
      </c>
      <c r="C6" s="3">
        <v>24</v>
      </c>
      <c r="D6" s="3">
        <v>257</v>
      </c>
      <c r="E6" s="3">
        <v>7</v>
      </c>
    </row>
    <row r="7" ht="14.25" customHeight="1" spans="2:5">
      <c r="B7" s="2">
        <v>45047</v>
      </c>
      <c r="C7" s="3">
        <v>37</v>
      </c>
      <c r="D7" s="3">
        <v>220</v>
      </c>
      <c r="E7" s="3">
        <v>6</v>
      </c>
    </row>
    <row r="8" ht="14.25" customHeight="1" spans="2:5">
      <c r="B8" s="2">
        <v>45078</v>
      </c>
      <c r="C8" s="3">
        <v>22</v>
      </c>
      <c r="D8" s="3">
        <v>198</v>
      </c>
      <c r="E8" s="3">
        <v>6</v>
      </c>
    </row>
    <row r="9" ht="14.25" customHeight="1" spans="2:5">
      <c r="B9" s="2">
        <v>45108</v>
      </c>
      <c r="C9" s="3">
        <v>324</v>
      </c>
      <c r="D9" s="3">
        <v>1465</v>
      </c>
      <c r="E9" s="3">
        <v>19</v>
      </c>
    </row>
    <row r="10" ht="14.25" customHeight="1" spans="2:5">
      <c r="B10" s="2">
        <v>45139</v>
      </c>
      <c r="C10" s="3">
        <v>424</v>
      </c>
      <c r="D10" s="3">
        <v>1041</v>
      </c>
      <c r="E10" s="3">
        <v>9</v>
      </c>
    </row>
    <row r="11" ht="14.25" customHeight="1" spans="2:5">
      <c r="B11" s="2">
        <v>45170</v>
      </c>
      <c r="C11" s="3">
        <v>401</v>
      </c>
      <c r="D11" s="3">
        <v>640</v>
      </c>
      <c r="E11" s="3">
        <v>4</v>
      </c>
    </row>
    <row r="12" ht="14.25" customHeight="1" spans="2:5">
      <c r="B12" s="2">
        <v>45200</v>
      </c>
      <c r="C12" s="3">
        <v>127</v>
      </c>
      <c r="D12" s="3">
        <v>513</v>
      </c>
      <c r="E12" s="3">
        <v>3</v>
      </c>
    </row>
    <row r="13" ht="14.25" customHeight="1" spans="2:5">
      <c r="B13" s="2">
        <v>45231</v>
      </c>
      <c r="C13" s="3">
        <v>587</v>
      </c>
      <c r="D13" s="3">
        <v>1438</v>
      </c>
      <c r="E13" s="3">
        <v>8</v>
      </c>
    </row>
    <row r="14" ht="14.25" customHeight="1" spans="2:5">
      <c r="B14" s="2">
        <v>45261</v>
      </c>
      <c r="C14" s="3">
        <v>462</v>
      </c>
      <c r="D14" s="3">
        <v>976</v>
      </c>
      <c r="E14" s="3">
        <v>5</v>
      </c>
    </row>
    <row r="15" ht="14.25" customHeight="1" spans="2:5">
      <c r="B15" s="2">
        <v>45292</v>
      </c>
      <c r="C15" s="3">
        <v>294</v>
      </c>
      <c r="D15" s="3">
        <v>1031</v>
      </c>
      <c r="E15" s="3">
        <v>4</v>
      </c>
    </row>
    <row r="16" ht="14.25" customHeight="1" spans="2:5">
      <c r="B16" s="2">
        <v>45323</v>
      </c>
      <c r="C16" s="3">
        <v>480</v>
      </c>
      <c r="D16" s="3">
        <v>1779</v>
      </c>
      <c r="E16" s="3">
        <v>7</v>
      </c>
    </row>
    <row r="17" ht="14.25" customHeight="1" spans="2:5">
      <c r="B17" s="2">
        <v>45352</v>
      </c>
      <c r="C17" s="3">
        <v>286</v>
      </c>
      <c r="D17" s="3">
        <v>1493</v>
      </c>
      <c r="E17" s="3">
        <v>5</v>
      </c>
    </row>
    <row r="18" ht="14.25" customHeight="1" spans="2:5">
      <c r="B18" s="2">
        <v>45383</v>
      </c>
      <c r="C18" s="3">
        <v>129</v>
      </c>
      <c r="D18" s="3">
        <v>1364</v>
      </c>
      <c r="E18" s="3">
        <v>5</v>
      </c>
    </row>
    <row r="19" ht="14.25" customHeight="1" spans="2:5">
      <c r="B19" s="2">
        <v>45413</v>
      </c>
      <c r="C19" s="3">
        <v>197</v>
      </c>
      <c r="D19" s="3">
        <v>2115</v>
      </c>
      <c r="E19" s="3">
        <v>7</v>
      </c>
    </row>
    <row r="20" ht="14.25" customHeight="1" spans="2:5">
      <c r="B20" s="2">
        <v>45444</v>
      </c>
      <c r="C20" s="3">
        <v>166</v>
      </c>
      <c r="D20" s="3">
        <v>1949</v>
      </c>
      <c r="E20" s="3">
        <v>6</v>
      </c>
    </row>
    <row r="21" ht="14.25" customHeight="1" spans="2:5">
      <c r="B21" s="2">
        <v>45474</v>
      </c>
      <c r="C21" s="3">
        <v>134</v>
      </c>
      <c r="D21" s="3">
        <v>1815</v>
      </c>
      <c r="E21" s="3">
        <v>6</v>
      </c>
    </row>
    <row r="22" ht="14.25" customHeight="1" spans="2:5">
      <c r="B22" s="2">
        <v>45505</v>
      </c>
      <c r="C22" s="3">
        <v>193</v>
      </c>
      <c r="D22" s="3">
        <v>2422</v>
      </c>
      <c r="E22" s="3">
        <v>8</v>
      </c>
    </row>
    <row r="23" ht="14.25" customHeight="1" spans="2:5">
      <c r="B23" s="2">
        <v>45536</v>
      </c>
      <c r="C23" s="3">
        <v>194</v>
      </c>
      <c r="D23" s="3">
        <v>2228</v>
      </c>
      <c r="E23" s="3">
        <v>8</v>
      </c>
    </row>
    <row r="24" ht="14.25" customHeight="1" spans="2:5">
      <c r="B24" s="2">
        <v>45566</v>
      </c>
      <c r="C24" s="3">
        <v>475</v>
      </c>
      <c r="D24" s="3">
        <v>3829</v>
      </c>
      <c r="E24" s="3">
        <v>13</v>
      </c>
    </row>
    <row r="25" ht="14.25" customHeight="1" spans="2:5">
      <c r="B25" s="2">
        <v>45597</v>
      </c>
      <c r="C25" s="3">
        <v>400</v>
      </c>
      <c r="D25" s="3">
        <v>3429</v>
      </c>
      <c r="E25" s="3">
        <v>12</v>
      </c>
    </row>
    <row r="26" ht="14.25" customHeight="1" spans="2:5">
      <c r="B26" s="2">
        <v>45627</v>
      </c>
      <c r="C26" s="3">
        <v>766</v>
      </c>
      <c r="D26" s="3">
        <v>3244</v>
      </c>
      <c r="E26" s="3">
        <v>10</v>
      </c>
    </row>
    <row r="27" ht="14.25" customHeight="1" spans="2:5">
      <c r="B27" s="2">
        <v>45658</v>
      </c>
      <c r="C27" s="3">
        <v>336</v>
      </c>
      <c r="D27" s="3">
        <v>2908</v>
      </c>
      <c r="E27" s="3">
        <v>9</v>
      </c>
    </row>
    <row r="28" ht="14.25" customHeight="1" spans="2:5">
      <c r="B28" s="2">
        <v>45689</v>
      </c>
      <c r="C28" s="3">
        <v>306</v>
      </c>
      <c r="D28" s="3">
        <v>2602</v>
      </c>
      <c r="E28" s="3">
        <v>9</v>
      </c>
    </row>
    <row r="29" ht="14.25" customHeight="1" spans="2:5">
      <c r="B29" s="2">
        <v>45717</v>
      </c>
      <c r="C29" s="3">
        <v>269</v>
      </c>
      <c r="D29" s="3">
        <v>2433</v>
      </c>
      <c r="E29" s="3">
        <v>8</v>
      </c>
    </row>
    <row r="30" ht="14.25" customHeight="1" spans="2:5">
      <c r="B30" s="2">
        <v>45748</v>
      </c>
      <c r="C30" s="3">
        <v>236</v>
      </c>
      <c r="D30" s="3">
        <v>2197</v>
      </c>
      <c r="E30" s="3">
        <v>7</v>
      </c>
    </row>
    <row r="31" ht="14.25" customHeight="1" spans="2:5">
      <c r="B31" s="2">
        <v>45778</v>
      </c>
      <c r="C31" s="3">
        <v>196</v>
      </c>
      <c r="D31" s="3">
        <v>2001</v>
      </c>
      <c r="E31" s="3">
        <v>7</v>
      </c>
    </row>
    <row r="32" ht="14.25" customHeight="1" spans="2:5">
      <c r="B32" s="2">
        <v>45809</v>
      </c>
      <c r="C32" s="3">
        <v>180</v>
      </c>
      <c r="D32" s="3">
        <v>1821</v>
      </c>
      <c r="E32" s="3">
        <v>6</v>
      </c>
    </row>
    <row r="33" ht="14.25" customHeight="1" spans="2:5">
      <c r="B33" s="2">
        <v>45839</v>
      </c>
      <c r="C33" s="3">
        <v>215</v>
      </c>
      <c r="D33" s="3">
        <v>1606</v>
      </c>
      <c r="E33" s="3">
        <v>5</v>
      </c>
    </row>
    <row r="34" ht="14.25" customHeight="1" spans="2:5">
      <c r="B34" s="2">
        <v>45870</v>
      </c>
      <c r="C34" s="3">
        <v>217</v>
      </c>
      <c r="D34" s="3">
        <v>1889</v>
      </c>
      <c r="E34" s="3">
        <v>6</v>
      </c>
    </row>
    <row r="35" ht="14.25" customHeight="1" spans="2:5">
      <c r="B35" s="2">
        <v>45901</v>
      </c>
      <c r="C35" s="3">
        <v>143</v>
      </c>
      <c r="D35" s="3">
        <v>1746</v>
      </c>
      <c r="E35" s="3">
        <v>6</v>
      </c>
    </row>
    <row r="36" ht="14.25" customHeight="1" spans="2:5">
      <c r="B36" s="2">
        <v>45931</v>
      </c>
      <c r="C36" s="3">
        <v>77</v>
      </c>
      <c r="D36" s="3">
        <v>1669</v>
      </c>
      <c r="E36" s="3">
        <v>6</v>
      </c>
    </row>
    <row r="37" ht="14.25" customHeight="1" spans="2:5">
      <c r="B37" s="2">
        <v>45962</v>
      </c>
      <c r="C37" s="3">
        <v>124</v>
      </c>
      <c r="D37" s="3">
        <v>1741</v>
      </c>
      <c r="E37" s="3">
        <v>7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1000"/>
  <sheetViews>
    <sheetView workbookViewId="0">
      <selection activeCell="A1" sqref="A1"/>
    </sheetView>
  </sheetViews>
  <sheetFormatPr defaultColWidth="14.3909090909091" defaultRowHeight="15" customHeight="1"/>
  <cols>
    <col min="1" max="1" width="9.14545454545454" customWidth="1"/>
    <col min="2" max="2" width="18.2909090909091" customWidth="1"/>
    <col min="3" max="15" width="10.0818181818182" customWidth="1"/>
    <col min="16" max="26" width="8.74545454545455" customWidth="1"/>
  </cols>
  <sheetData>
    <row r="1" ht="14.25" customHeight="1"/>
    <row r="2" ht="14.25" customHeight="1" spans="2:15">
      <c r="B2" s="1" t="s">
        <v>201</v>
      </c>
      <c r="C2" s="1" t="s">
        <v>202</v>
      </c>
      <c r="D2" s="1" t="s">
        <v>180</v>
      </c>
      <c r="E2" s="1" t="s">
        <v>181</v>
      </c>
      <c r="F2" s="1" t="s">
        <v>182</v>
      </c>
      <c r="G2" s="1" t="s">
        <v>183</v>
      </c>
      <c r="H2" s="1" t="s">
        <v>184</v>
      </c>
      <c r="I2" s="1" t="s">
        <v>185</v>
      </c>
      <c r="J2" s="1" t="s">
        <v>186</v>
      </c>
      <c r="K2" s="1" t="s">
        <v>187</v>
      </c>
      <c r="L2" s="1" t="s">
        <v>188</v>
      </c>
      <c r="M2" s="1" t="s">
        <v>189</v>
      </c>
      <c r="N2" s="1" t="s">
        <v>190</v>
      </c>
      <c r="O2" s="1" t="s">
        <v>191</v>
      </c>
    </row>
    <row r="3" ht="14.25" customHeight="1" spans="2:15">
      <c r="B3" s="3" t="s">
        <v>52</v>
      </c>
      <c r="C3" s="3"/>
      <c r="D3" s="3"/>
      <c r="E3" s="3">
        <v>281</v>
      </c>
      <c r="F3" s="3">
        <v>198</v>
      </c>
      <c r="G3" s="3">
        <v>640</v>
      </c>
      <c r="H3" s="3">
        <v>976</v>
      </c>
      <c r="I3" s="3">
        <v>1493</v>
      </c>
      <c r="J3" s="3">
        <v>1949</v>
      </c>
      <c r="K3" s="3">
        <v>2228</v>
      </c>
      <c r="L3" s="3">
        <v>3244</v>
      </c>
      <c r="M3" s="3">
        <v>2433</v>
      </c>
      <c r="N3" s="3">
        <v>1821</v>
      </c>
      <c r="O3" s="3">
        <v>1746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1000"/>
  <sheetViews>
    <sheetView workbookViewId="0">
      <selection activeCell="A1" sqref="A1"/>
    </sheetView>
  </sheetViews>
  <sheetFormatPr defaultColWidth="14.3909090909091" defaultRowHeight="15" customHeight="1"/>
  <cols>
    <col min="1" max="1" width="9.14545454545454" customWidth="1"/>
    <col min="2" max="2" width="10.0818181818182" customWidth="1"/>
    <col min="3" max="3" width="7.93636363636364" customWidth="1"/>
    <col min="4" max="8" width="11.7" customWidth="1"/>
    <col min="9" max="9" width="12.6454545454545" customWidth="1"/>
    <col min="10" max="11" width="13.7181818181818" customWidth="1"/>
    <col min="12" max="12" width="9.00909090909091" customWidth="1"/>
    <col min="13" max="13" width="7.26363636363636" customWidth="1"/>
    <col min="14" max="26" width="8.74545454545455" customWidth="1"/>
  </cols>
  <sheetData>
    <row r="1" ht="14.25" customHeight="1"/>
    <row r="2" ht="14.25" customHeight="1" spans="2:13">
      <c r="B2" s="1" t="s">
        <v>167</v>
      </c>
      <c r="C2" s="1" t="s">
        <v>203</v>
      </c>
      <c r="D2" s="1" t="s">
        <v>204</v>
      </c>
      <c r="E2" s="1" t="s">
        <v>205</v>
      </c>
      <c r="F2" s="1" t="s">
        <v>206</v>
      </c>
      <c r="G2" s="1" t="s">
        <v>207</v>
      </c>
      <c r="H2" s="1" t="s">
        <v>208</v>
      </c>
      <c r="I2" s="1" t="s">
        <v>209</v>
      </c>
      <c r="J2" s="1" t="s">
        <v>210</v>
      </c>
      <c r="K2" s="1" t="s">
        <v>211</v>
      </c>
      <c r="L2" s="1" t="s">
        <v>212</v>
      </c>
      <c r="M2" s="1" t="s">
        <v>171</v>
      </c>
    </row>
    <row r="3" ht="14.25" customHeight="1" spans="2:13">
      <c r="B3" s="3" t="s">
        <v>180</v>
      </c>
      <c r="C3" s="3">
        <v>24</v>
      </c>
      <c r="D3" s="3">
        <v>42</v>
      </c>
      <c r="E3" s="3">
        <v>55</v>
      </c>
      <c r="F3" s="3"/>
      <c r="G3" s="3"/>
      <c r="H3" s="3"/>
      <c r="I3" s="3"/>
      <c r="J3" s="3"/>
      <c r="K3" s="3"/>
      <c r="L3" s="3"/>
      <c r="M3" s="3">
        <v>121</v>
      </c>
    </row>
    <row r="4" ht="14.25" customHeight="1" spans="2:13">
      <c r="B4" s="3" t="s">
        <v>181</v>
      </c>
      <c r="C4" s="3">
        <v>12</v>
      </c>
      <c r="D4" s="3"/>
      <c r="E4" s="3">
        <v>71</v>
      </c>
      <c r="F4" s="3"/>
      <c r="G4" s="3"/>
      <c r="H4" s="3"/>
      <c r="I4" s="3"/>
      <c r="J4" s="3"/>
      <c r="K4" s="3"/>
      <c r="L4" s="3"/>
      <c r="M4" s="3">
        <v>83</v>
      </c>
    </row>
    <row r="5" ht="14.25" customHeight="1" spans="2:13">
      <c r="B5" s="3" t="s">
        <v>182</v>
      </c>
      <c r="C5" s="3">
        <v>20</v>
      </c>
      <c r="D5" s="3"/>
      <c r="E5" s="3">
        <v>269</v>
      </c>
      <c r="F5" s="3">
        <v>860</v>
      </c>
      <c r="G5" s="3"/>
      <c r="H5" s="3"/>
      <c r="I5" s="3"/>
      <c r="J5" s="3"/>
      <c r="K5" s="3"/>
      <c r="L5" s="3"/>
      <c r="M5" s="3">
        <v>1149</v>
      </c>
    </row>
    <row r="6" ht="14.25" customHeight="1" spans="2:13">
      <c r="B6" s="3" t="s">
        <v>183</v>
      </c>
      <c r="C6" s="3">
        <v>20</v>
      </c>
      <c r="D6" s="3"/>
      <c r="E6" s="3"/>
      <c r="F6" s="3">
        <v>266</v>
      </c>
      <c r="G6" s="3">
        <v>890</v>
      </c>
      <c r="H6" s="3"/>
      <c r="I6" s="3"/>
      <c r="J6" s="3"/>
      <c r="K6" s="3"/>
      <c r="L6" s="3"/>
      <c r="M6" s="3">
        <v>1176</v>
      </c>
    </row>
    <row r="7" ht="14.25" customHeight="1" spans="2:13">
      <c r="B7" s="3" t="s">
        <v>184</v>
      </c>
      <c r="C7" s="3">
        <v>24</v>
      </c>
      <c r="D7" s="3"/>
      <c r="E7" s="3"/>
      <c r="F7" s="3">
        <v>143</v>
      </c>
      <c r="G7" s="3">
        <v>532</v>
      </c>
      <c r="H7" s="3">
        <v>361</v>
      </c>
      <c r="I7" s="3"/>
      <c r="J7" s="3"/>
      <c r="K7" s="3"/>
      <c r="L7" s="3"/>
      <c r="M7" s="3">
        <v>1060</v>
      </c>
    </row>
    <row r="8" ht="14.25" customHeight="1" spans="2:13">
      <c r="B8" s="3" t="s">
        <v>185</v>
      </c>
      <c r="C8" s="3">
        <v>27</v>
      </c>
      <c r="D8" s="3"/>
      <c r="E8" s="3"/>
      <c r="F8" s="3"/>
      <c r="G8" s="3">
        <v>182</v>
      </c>
      <c r="H8" s="3">
        <v>283</v>
      </c>
      <c r="I8" s="3"/>
      <c r="J8" s="3"/>
      <c r="K8" s="3"/>
      <c r="L8" s="3"/>
      <c r="M8" s="3">
        <v>492</v>
      </c>
    </row>
    <row r="9" ht="14.25" customHeight="1" spans="2:13">
      <c r="B9" s="3" t="s">
        <v>186</v>
      </c>
      <c r="C9" s="3">
        <v>17</v>
      </c>
      <c r="D9" s="3"/>
      <c r="E9" s="3"/>
      <c r="F9" s="3"/>
      <c r="G9" s="3">
        <v>47</v>
      </c>
      <c r="H9" s="3">
        <v>329</v>
      </c>
      <c r="I9" s="3">
        <v>128</v>
      </c>
      <c r="J9" s="3"/>
      <c r="K9" s="3"/>
      <c r="L9" s="3"/>
      <c r="M9" s="3">
        <v>521</v>
      </c>
    </row>
    <row r="10" ht="14.25" customHeight="1" spans="2:13">
      <c r="B10" s="3" t="s">
        <v>187</v>
      </c>
      <c r="C10" s="3">
        <v>7</v>
      </c>
      <c r="D10" s="3"/>
      <c r="E10" s="3"/>
      <c r="F10" s="3"/>
      <c r="G10" s="3">
        <v>807</v>
      </c>
      <c r="H10" s="3">
        <v>667</v>
      </c>
      <c r="I10" s="3">
        <v>160</v>
      </c>
      <c r="J10" s="3"/>
      <c r="K10" s="3"/>
      <c r="L10" s="3"/>
      <c r="M10" s="3">
        <v>1641</v>
      </c>
    </row>
    <row r="11" ht="14.25" customHeight="1" spans="2:13">
      <c r="B11" s="3" t="s">
        <v>188</v>
      </c>
      <c r="C11" s="3"/>
      <c r="D11" s="3"/>
      <c r="E11" s="3"/>
      <c r="F11" s="3"/>
      <c r="G11" s="3">
        <v>355</v>
      </c>
      <c r="H11" s="3">
        <v>186</v>
      </c>
      <c r="I11" s="3">
        <v>368</v>
      </c>
      <c r="J11" s="3">
        <v>2</v>
      </c>
      <c r="K11" s="3"/>
      <c r="L11" s="3"/>
      <c r="M11" s="3">
        <v>911</v>
      </c>
    </row>
    <row r="12" ht="14.25" customHeight="1" spans="2:13">
      <c r="B12" s="3" t="s">
        <v>189</v>
      </c>
      <c r="C12" s="3"/>
      <c r="D12" s="3"/>
      <c r="E12" s="3"/>
      <c r="F12" s="3"/>
      <c r="G12" s="3">
        <v>157</v>
      </c>
      <c r="H12" s="3">
        <v>100</v>
      </c>
      <c r="I12" s="3">
        <v>350</v>
      </c>
      <c r="J12" s="3">
        <v>5</v>
      </c>
      <c r="K12" s="3"/>
      <c r="L12" s="3"/>
      <c r="M12" s="3">
        <v>612</v>
      </c>
    </row>
    <row r="13" ht="14.25" customHeight="1" spans="2:13">
      <c r="B13" s="3" t="s">
        <v>190</v>
      </c>
      <c r="C13" s="3"/>
      <c r="D13" s="3"/>
      <c r="E13" s="3"/>
      <c r="F13" s="3"/>
      <c r="G13" s="3">
        <v>86</v>
      </c>
      <c r="H13" s="3">
        <v>126</v>
      </c>
      <c r="I13" s="3">
        <v>358</v>
      </c>
      <c r="J13" s="3">
        <v>5</v>
      </c>
      <c r="K13" s="3"/>
      <c r="L13" s="3"/>
      <c r="M13" s="3">
        <v>575</v>
      </c>
    </row>
    <row r="14" ht="14.25" customHeight="1" spans="2:13">
      <c r="B14" s="3" t="s">
        <v>191</v>
      </c>
      <c r="C14" s="3"/>
      <c r="D14" s="3"/>
      <c r="E14" s="3"/>
      <c r="F14" s="3"/>
      <c r="G14" s="3">
        <v>78</v>
      </c>
      <c r="H14" s="3">
        <v>76</v>
      </c>
      <c r="I14" s="3">
        <v>20</v>
      </c>
      <c r="J14" s="3">
        <v>5</v>
      </c>
      <c r="K14" s="3"/>
      <c r="L14" s="3">
        <v>22</v>
      </c>
      <c r="M14" s="3">
        <v>201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0"/>
  <sheetViews>
    <sheetView workbookViewId="0">
      <selection activeCell="A1" sqref="A1"/>
    </sheetView>
  </sheetViews>
  <sheetFormatPr defaultColWidth="14.3909090909091" defaultRowHeight="15" customHeight="1"/>
  <cols>
    <col min="1" max="26" width="8.74545454545455" customWidth="1"/>
  </cols>
  <sheetData>
    <row r="1" ht="14.25" customHeight="1" spans="1:14">
      <c r="A1" s="1" t="s">
        <v>201</v>
      </c>
      <c r="B1" s="1" t="s">
        <v>202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</row>
    <row r="2" ht="14.25" customHeight="1" spans="1:14">
      <c r="A2" s="3" t="s">
        <v>52</v>
      </c>
      <c r="B2" s="3"/>
      <c r="C2" s="3">
        <v>4424.67</v>
      </c>
      <c r="D2" s="3"/>
      <c r="E2" s="3">
        <v>5850.85</v>
      </c>
      <c r="F2" s="3">
        <v>7537</v>
      </c>
      <c r="G2" s="3">
        <v>7972.06</v>
      </c>
      <c r="H2" s="3">
        <v>8860</v>
      </c>
      <c r="I2" s="3">
        <v>9345</v>
      </c>
      <c r="J2" s="3">
        <v>7739.78</v>
      </c>
      <c r="K2" s="3">
        <v>10500</v>
      </c>
      <c r="L2" s="3"/>
      <c r="M2" s="3">
        <v>7700</v>
      </c>
      <c r="N2" s="3">
        <v>17285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000"/>
  <sheetViews>
    <sheetView workbookViewId="0">
      <selection activeCell="A1" sqref="A1"/>
    </sheetView>
  </sheetViews>
  <sheetFormatPr defaultColWidth="14.3909090909091" defaultRowHeight="15" customHeight="1" outlineLevelCol="7"/>
  <cols>
    <col min="1" max="2" width="9.14545454545454" customWidth="1"/>
    <col min="3" max="3" width="15.6" customWidth="1"/>
    <col min="4" max="4" width="19.3727272727273" customWidth="1"/>
    <col min="5" max="5" width="24.3454545454545" customWidth="1"/>
    <col min="6" max="6" width="26.1" customWidth="1"/>
    <col min="7" max="7" width="30" customWidth="1"/>
    <col min="8" max="8" width="30.1363636363636" customWidth="1"/>
    <col min="9" max="26" width="8.74545454545455" customWidth="1"/>
  </cols>
  <sheetData>
    <row r="1" ht="14.25" customHeight="1"/>
    <row r="2" ht="14.25" customHeight="1" spans="2:8">
      <c r="B2" s="1" t="s">
        <v>167</v>
      </c>
      <c r="C2" s="1" t="s">
        <v>213</v>
      </c>
      <c r="D2" s="1" t="s">
        <v>214</v>
      </c>
      <c r="E2" s="1" t="s">
        <v>215</v>
      </c>
      <c r="F2" s="1" t="s">
        <v>216</v>
      </c>
      <c r="G2" s="1" t="s">
        <v>217</v>
      </c>
      <c r="H2" s="1" t="s">
        <v>218</v>
      </c>
    </row>
    <row r="3" ht="14.25" customHeight="1" spans="2:8">
      <c r="B3" s="2">
        <v>44927</v>
      </c>
      <c r="C3" s="3">
        <v>402</v>
      </c>
      <c r="D3" s="3">
        <v>401</v>
      </c>
      <c r="E3" s="3">
        <v>1</v>
      </c>
      <c r="F3" s="3">
        <v>402</v>
      </c>
      <c r="G3" s="3">
        <v>401</v>
      </c>
      <c r="H3" s="3">
        <v>1</v>
      </c>
    </row>
    <row r="4" ht="14.25" customHeight="1" spans="2:8">
      <c r="B4" s="2">
        <v>45108</v>
      </c>
      <c r="C4" s="3">
        <v>1591</v>
      </c>
      <c r="D4" s="3">
        <v>1555</v>
      </c>
      <c r="E4" s="3">
        <v>36</v>
      </c>
      <c r="F4" s="3">
        <v>1993</v>
      </c>
      <c r="G4" s="3">
        <v>1956</v>
      </c>
      <c r="H4" s="3">
        <v>37</v>
      </c>
    </row>
    <row r="5" ht="14.25" customHeight="1" spans="2:8">
      <c r="B5" s="2">
        <v>45231</v>
      </c>
      <c r="C5" s="3">
        <v>1512</v>
      </c>
      <c r="D5" s="3">
        <v>1452</v>
      </c>
      <c r="E5" s="3">
        <v>60</v>
      </c>
      <c r="F5" s="3">
        <v>3505</v>
      </c>
      <c r="G5" s="3">
        <v>3408</v>
      </c>
      <c r="H5" s="3">
        <v>97</v>
      </c>
    </row>
    <row r="6" ht="14.25" customHeight="1" spans="2:8">
      <c r="B6" s="2">
        <v>45292</v>
      </c>
      <c r="C6" s="3">
        <v>349</v>
      </c>
      <c r="D6" s="3">
        <v>225</v>
      </c>
      <c r="E6" s="3">
        <v>124</v>
      </c>
      <c r="F6" s="3">
        <v>3854</v>
      </c>
      <c r="G6" s="3">
        <v>3633</v>
      </c>
      <c r="H6" s="3">
        <v>221</v>
      </c>
    </row>
    <row r="7" ht="14.25" customHeight="1" spans="2:8">
      <c r="B7" s="2">
        <v>45323</v>
      </c>
      <c r="C7" s="3">
        <v>1228</v>
      </c>
      <c r="D7" s="3">
        <v>997</v>
      </c>
      <c r="E7" s="3">
        <v>231</v>
      </c>
      <c r="F7" s="3">
        <v>5082</v>
      </c>
      <c r="G7" s="3">
        <v>4630</v>
      </c>
      <c r="H7" s="3">
        <v>452</v>
      </c>
    </row>
    <row r="8" ht="14.25" customHeight="1" spans="2:8">
      <c r="B8" s="2">
        <v>45413</v>
      </c>
      <c r="C8" s="3">
        <v>948</v>
      </c>
      <c r="D8" s="3">
        <v>948</v>
      </c>
      <c r="E8" s="3"/>
      <c r="F8" s="3">
        <v>6030</v>
      </c>
      <c r="G8" s="3">
        <v>5578</v>
      </c>
      <c r="H8" s="3">
        <v>452</v>
      </c>
    </row>
    <row r="9" ht="14.25" customHeight="1" spans="2:8">
      <c r="B9" s="2">
        <v>45505</v>
      </c>
      <c r="C9" s="3">
        <v>800</v>
      </c>
      <c r="D9" s="3">
        <v>800</v>
      </c>
      <c r="E9" s="3"/>
      <c r="F9" s="3">
        <v>6830</v>
      </c>
      <c r="G9" s="3">
        <v>6378</v>
      </c>
      <c r="H9" s="3">
        <v>452</v>
      </c>
    </row>
    <row r="10" ht="14.25" customHeight="1" spans="2:8">
      <c r="B10" s="2">
        <v>45566</v>
      </c>
      <c r="C10" s="3">
        <v>2076</v>
      </c>
      <c r="D10" s="3">
        <v>1516</v>
      </c>
      <c r="E10" s="3">
        <v>560</v>
      </c>
      <c r="F10" s="3">
        <v>8906</v>
      </c>
      <c r="G10" s="3">
        <v>7894</v>
      </c>
      <c r="H10" s="3">
        <v>1012</v>
      </c>
    </row>
    <row r="11" ht="14.25" customHeight="1" spans="2:8">
      <c r="B11" s="2">
        <v>45627</v>
      </c>
      <c r="C11" s="3">
        <v>581</v>
      </c>
      <c r="D11" s="3">
        <v>576</v>
      </c>
      <c r="E11" s="3">
        <v>5</v>
      </c>
      <c r="F11" s="3">
        <v>9487</v>
      </c>
      <c r="G11" s="3">
        <v>8470</v>
      </c>
      <c r="H11" s="3">
        <v>1017</v>
      </c>
    </row>
    <row r="12" ht="14.25" customHeight="1" spans="2:8">
      <c r="B12" s="2">
        <v>45717</v>
      </c>
      <c r="C12" s="3">
        <v>100</v>
      </c>
      <c r="D12" s="3">
        <v>17</v>
      </c>
      <c r="E12" s="3">
        <v>83</v>
      </c>
      <c r="F12" s="3">
        <v>9587</v>
      </c>
      <c r="G12" s="3">
        <v>8487</v>
      </c>
      <c r="H12" s="3">
        <v>1100</v>
      </c>
    </row>
    <row r="13" ht="14.25" customHeight="1" spans="2:8">
      <c r="B13" s="2">
        <v>45870</v>
      </c>
      <c r="C13" s="3">
        <v>500</v>
      </c>
      <c r="D13" s="3">
        <v>33</v>
      </c>
      <c r="E13" s="3">
        <v>467</v>
      </c>
      <c r="F13" s="3">
        <v>10087</v>
      </c>
      <c r="G13" s="3">
        <v>8520</v>
      </c>
      <c r="H13" s="3">
        <v>1567</v>
      </c>
    </row>
    <row r="14" ht="14.25" customHeight="1" spans="2:8">
      <c r="B14" s="2">
        <v>45962</v>
      </c>
      <c r="C14" s="3">
        <v>196</v>
      </c>
      <c r="D14" s="3">
        <v>22</v>
      </c>
      <c r="E14" s="3">
        <v>174</v>
      </c>
      <c r="F14" s="3">
        <v>10283</v>
      </c>
      <c r="G14" s="3">
        <v>8542</v>
      </c>
      <c r="H14" s="3">
        <v>1741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Summary - Bagaluru</vt:lpstr>
      <vt:lpstr>Projects List</vt:lpstr>
      <vt:lpstr>Productwise Supply</vt:lpstr>
      <vt:lpstr>Productwise Supply &amp; Absorption</vt:lpstr>
      <vt:lpstr>Weighted Avg Price Trend</vt:lpstr>
      <vt:lpstr>New Launch Data</vt:lpstr>
      <vt:lpstr>Inventory Trend</vt:lpstr>
      <vt:lpstr>Micro Market Supply &amp; Absorptio</vt:lpstr>
      <vt:lpstr>Absorption Break-up</vt:lpstr>
      <vt:lpstr>Micro Market Wt Avg Price Trend</vt:lpstr>
      <vt:lpstr>Cumulative Supply &amp; Absorption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sadiya anmol</dc:creator>
  <cp:lastModifiedBy>Sadiya</cp:lastModifiedBy>
  <dcterms:created xsi:type="dcterms:W3CDTF">2025-12-29T09:59:00Z</dcterms:created>
  <dcterms:modified xsi:type="dcterms:W3CDTF">2026-02-14T12:57:10Z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0x010100DF7E6C582074D547A4874D7141203322</vt:lpwstr>
  </property>
  <property fmtid="{D5CDD505-2E9C-101B-9397-08002B2CF9AE}" pid="3" name="MediaServiceImageTags">
    <vt:lpwstr/>
  </property>
  <property fmtid="{D5CDD505-2E9C-101B-9397-08002B2CF9AE}" pid="4" name="ICV">
    <vt:lpwstr>9E113442B61D43739AD95450D3AFAD3C_13</vt:lpwstr>
  </property>
  <property fmtid="{D5CDD505-2E9C-101B-9397-08002B2CF9AE}" pid="5" name="KSOProductBuildVer">
    <vt:lpwstr>1033-12.2.0.23196</vt:lpwstr>
  </property>
</Properties>
</file>